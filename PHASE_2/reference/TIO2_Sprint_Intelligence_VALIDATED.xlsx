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OVU1COB\Downloads\"/>
    </mc:Choice>
  </mc:AlternateContent>
  <xr:revisionPtr revIDLastSave="0" documentId="13_ncr:1_{A82B2D90-C55C-4A5F-BFB6-DFE1E1316932}" xr6:coauthVersionLast="47" xr6:coauthVersionMax="47" xr10:uidLastSave="{00000000-0000-0000-0000-000000000000}"/>
  <bookViews>
    <workbookView xWindow="28680" yWindow="-120" windowWidth="29040" windowHeight="17520" activeTab="6" xr2:uid="{00000000-000D-0000-FFFF-FFFF00000000}"/>
  </bookViews>
  <sheets>
    <sheet name="Project_Info" sheetId="1" r:id="rId1"/>
    <sheet name="Team" sheetId="2" r:id="rId2"/>
    <sheet name="Sprint_Plan" sheetId="3" r:id="rId3"/>
    <sheet name="Work_Items" sheetId="4" r:id="rId4"/>
    <sheet name="Dependencies" sheetId="5" r:id="rId5"/>
    <sheet name="Blockers" sheetId="6" r:id="rId6"/>
    <sheet name="Sprint_Actuals" sheetId="7" r:id="rId7"/>
    <sheet name="Lists" sheetId="8" state="hidden" r:id="rId8"/>
  </sheets>
  <definedNames>
    <definedName name="BlockerCategory">Lists!$K$2:$K$8</definedName>
    <definedName name="BlockerStatus">Lists!$J$2:$J$5</definedName>
    <definedName name="DependencyType">Lists!$H$2:$H$4</definedName>
    <definedName name="Owners">Lists!$L$2:$L$9</definedName>
    <definedName name="Priority">Lists!$D$2:$D$5</definedName>
    <definedName name="ProjectStatus">Lists!$A$2:$A$5</definedName>
    <definedName name="ScopeReason">Lists!$G$2:$G$7</definedName>
    <definedName name="Severity">Lists!$I$2:$I$5</definedName>
    <definedName name="Skills">Lists!$M$2:$M$17</definedName>
    <definedName name="Sprints">Lists!$N$2:$N$13</definedName>
    <definedName name="SprintStatus">Lists!$B$2:$B$4</definedName>
    <definedName name="WorkItemStatus">Lists!$E$2:$E$6</definedName>
    <definedName name="WorkItemType">Lists!$C$2:$C$6</definedName>
    <definedName name="YesNo">Lists!$F$2:$F$3</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69" i="4" l="1"/>
  <c r="J69" i="4"/>
  <c r="I69" i="4"/>
  <c r="L67" i="4"/>
  <c r="M67" i="4" s="1"/>
  <c r="L66" i="4"/>
  <c r="M66" i="4" s="1"/>
  <c r="L65" i="4"/>
  <c r="M65" i="4" s="1"/>
  <c r="L64" i="4"/>
  <c r="M64" i="4" s="1"/>
  <c r="L63" i="4"/>
  <c r="M63" i="4" s="1"/>
  <c r="L62" i="4"/>
  <c r="M62" i="4" s="1"/>
  <c r="L61" i="4"/>
  <c r="M61" i="4" s="1"/>
  <c r="L60" i="4"/>
  <c r="M60" i="4" s="1"/>
  <c r="L59" i="4"/>
  <c r="M59" i="4" s="1"/>
  <c r="L58" i="4"/>
  <c r="M58" i="4" s="1"/>
  <c r="L57" i="4"/>
  <c r="M57" i="4" s="1"/>
  <c r="L56" i="4"/>
  <c r="M56" i="4" s="1"/>
  <c r="L55" i="4"/>
  <c r="M55" i="4" s="1"/>
  <c r="L54" i="4"/>
  <c r="M54" i="4" s="1"/>
  <c r="L53" i="4"/>
  <c r="M53" i="4" s="1"/>
  <c r="L52" i="4"/>
  <c r="M52" i="4" s="1"/>
  <c r="L51" i="4"/>
  <c r="M51" i="4" s="1"/>
  <c r="L50" i="4"/>
  <c r="M50" i="4" s="1"/>
  <c r="L49" i="4"/>
  <c r="M49" i="4" s="1"/>
  <c r="L48" i="4"/>
  <c r="M48" i="4" s="1"/>
  <c r="L47" i="4"/>
  <c r="M47" i="4" s="1"/>
  <c r="L46" i="4"/>
  <c r="M46" i="4" s="1"/>
  <c r="L45" i="4"/>
  <c r="M45" i="4" s="1"/>
  <c r="L44" i="4"/>
  <c r="M44" i="4" s="1"/>
  <c r="L43" i="4"/>
  <c r="M43" i="4" s="1"/>
  <c r="L42" i="4"/>
  <c r="M42" i="4" s="1"/>
  <c r="L41" i="4"/>
  <c r="M41" i="4" s="1"/>
  <c r="L40" i="4"/>
  <c r="M40" i="4" s="1"/>
  <c r="L39" i="4"/>
  <c r="M39" i="4" s="1"/>
  <c r="M38" i="4"/>
  <c r="L38" i="4"/>
  <c r="L37" i="4"/>
  <c r="M37" i="4" s="1"/>
  <c r="L36" i="4"/>
  <c r="M36" i="4" s="1"/>
  <c r="L35" i="4"/>
  <c r="M35" i="4" s="1"/>
  <c r="L34" i="4"/>
  <c r="M34" i="4" s="1"/>
  <c r="L33" i="4"/>
  <c r="M33" i="4" s="1"/>
  <c r="L32" i="4"/>
  <c r="M32" i="4" s="1"/>
  <c r="L31" i="4"/>
  <c r="M31" i="4" s="1"/>
  <c r="L30" i="4"/>
  <c r="M30" i="4" s="1"/>
  <c r="L29" i="4"/>
  <c r="M29" i="4" s="1"/>
  <c r="L28" i="4"/>
  <c r="M28" i="4" s="1"/>
  <c r="L27" i="4"/>
  <c r="M27" i="4" s="1"/>
  <c r="L26" i="4"/>
  <c r="M26" i="4" s="1"/>
  <c r="L25" i="4"/>
  <c r="M25" i="4" s="1"/>
  <c r="L24" i="4"/>
  <c r="M24" i="4" s="1"/>
  <c r="L23" i="4"/>
  <c r="M23" i="4" s="1"/>
  <c r="L22" i="4"/>
  <c r="M22" i="4" s="1"/>
  <c r="L21" i="4"/>
  <c r="M21" i="4" s="1"/>
  <c r="L20" i="4"/>
  <c r="M20" i="4" s="1"/>
  <c r="L19" i="4"/>
  <c r="M19" i="4" s="1"/>
  <c r="L18" i="4"/>
  <c r="M18" i="4" s="1"/>
  <c r="L17" i="4"/>
  <c r="M17" i="4" s="1"/>
  <c r="L16" i="4"/>
  <c r="M16" i="4" s="1"/>
  <c r="L15" i="4"/>
  <c r="M15" i="4" s="1"/>
  <c r="L14" i="4"/>
  <c r="M14" i="4" s="1"/>
  <c r="L13" i="4"/>
  <c r="M13" i="4" s="1"/>
  <c r="L12" i="4"/>
  <c r="M12" i="4" s="1"/>
  <c r="L11" i="4"/>
  <c r="M11" i="4" s="1"/>
  <c r="L10" i="4"/>
  <c r="M10" i="4" s="1"/>
  <c r="L9" i="4"/>
  <c r="M9" i="4" s="1"/>
  <c r="L8" i="4"/>
  <c r="M8" i="4" s="1"/>
  <c r="L7" i="4"/>
  <c r="M7" i="4" s="1"/>
  <c r="L6" i="4"/>
  <c r="M6" i="4" s="1"/>
  <c r="L5" i="4"/>
  <c r="M5" i="4" s="1"/>
  <c r="L4" i="4"/>
  <c r="M4" i="4" s="1"/>
  <c r="L3" i="4"/>
  <c r="L69" i="4" s="1"/>
  <c r="B14" i="3"/>
  <c r="B15" i="3" s="1"/>
  <c r="B13" i="3"/>
  <c r="G6" i="7"/>
  <c r="D6" i="7"/>
  <c r="G5" i="7"/>
  <c r="D5" i="7"/>
  <c r="G4" i="7"/>
  <c r="D4" i="7"/>
  <c r="G3" i="7"/>
  <c r="D3" i="7"/>
  <c r="M3" i="4" l="1"/>
</calcChain>
</file>

<file path=xl/sharedStrings.xml><?xml version="1.0" encoding="utf-8"?>
<sst xmlns="http://schemas.openxmlformats.org/spreadsheetml/2006/main" count="1131" uniqueCount="417">
  <si>
    <t>TIO2 – SPRINT ACTUALS  (Velocity History &amp; Forecast Inputs)</t>
  </si>
  <si>
    <t>Sprint</t>
  </si>
  <si>
    <t>Planned Hours</t>
  </si>
  <si>
    <t>Actual Hours</t>
  </si>
  <si>
    <t>Variance (h)</t>
  </si>
  <si>
    <t>Tasks Planned</t>
  </si>
  <si>
    <t>Tasks Completed</t>
  </si>
  <si>
    <t>Completion Rate</t>
  </si>
  <si>
    <t>Carry-Over Count</t>
  </si>
  <si>
    <t>Scope Change Hours</t>
  </si>
  <si>
    <t>Blocker Impact (h)</t>
  </si>
  <si>
    <t>Notes</t>
  </si>
  <si>
    <t>Sprint 1</t>
  </si>
  <si>
    <t>Minor overrun. AUTOSAR BSW config more complex – MICROSAR OS category mismatch. CI pipeline on time. WI-006 OS scheduling carried 2h into Sprint 2 (overflow). Velocity baseline set: ~34h/person/sprint. BCC1→ECC2 OS reconfiguration added 6h unplanned.</t>
  </si>
  <si>
    <t>Sprint 2</t>
  </si>
  <si>
    <t>Slightly under plan. J1939 address claiming completed 3h faster than estimated. CAN frame routing overran +6h (gateway redundancy scope, SC-005). WI-014 completed in overtime. WI-028 telemetry design started but not completed; flagged early carry risk.</t>
  </si>
  <si>
    <t>Sprint 3</t>
  </si>
  <si>
    <t>Significant overrun (+50h). OEM diagnostic spec blocker (BLK-001) caused rework on UDS services 0x19 and 0x22 (DTC snapshot size change). Arjun availability reduced to 80% mid-sprint (ASPICE audit). 4 tasks carried: WI-028, WI-026 rework, plus 2 scope tasks.</t>
  </si>
  <si>
    <t>Sprint 4</t>
  </si>
  <si>
    <t>Over by 15h. Hardware bench BLK-002 limited HIL validation time; Sneha could not complete bench-dependent tasks. 3 items remain In Progress: WI-037 (BSP), WI-038 (memory), WI-040 (COM PDU defect blocked). AUTOSAR RTE integration accepted by Daimler Truck.</t>
  </si>
  <si>
    <t>TIO2 SPRINT INTELLIGENCE  ·  PROJECT INFORMATION</t>
  </si>
  <si>
    <t>Project Name</t>
  </si>
  <si>
    <t>Sponsor</t>
  </si>
  <si>
    <t>Business Unit</t>
  </si>
  <si>
    <t>Project Manager</t>
  </si>
  <si>
    <t>Start Date</t>
  </si>
  <si>
    <t>Target End Date</t>
  </si>
  <si>
    <t>Sprint Length (Days)</t>
  </si>
  <si>
    <t>Methodology</t>
  </si>
  <si>
    <t>Customer</t>
  </si>
  <si>
    <t>Status</t>
  </si>
  <si>
    <t>TIO2 – Telematics Gateway ECU Modernization</t>
  </si>
  <si>
    <t>Dr. Klaus Bergmann</t>
  </si>
  <si>
    <t>Commercial Vehicles</t>
  </si>
  <si>
    <t>Suresh Iyer</t>
  </si>
  <si>
    <t>Agile Scrum</t>
  </si>
  <si>
    <t>Daimler Truck</t>
  </si>
  <si>
    <t>Active</t>
  </si>
  <si>
    <t>KEY PROJECT METRICS</t>
  </si>
  <si>
    <t>Total Sprints</t>
  </si>
  <si>
    <t>Sprint Length (days)</t>
  </si>
  <si>
    <t>Target Confidence Level</t>
  </si>
  <si>
    <t>80%</t>
  </si>
  <si>
    <t>Current Sprint</t>
  </si>
  <si>
    <t>Sprints Completed</t>
  </si>
  <si>
    <t>Sprints Remaining</t>
  </si>
  <si>
    <t>Total Team Size</t>
  </si>
  <si>
    <t>Technology Domain</t>
  </si>
  <si>
    <t>Automotive Embedded Software</t>
  </si>
  <si>
    <t>Compliance Target</t>
  </si>
  <si>
    <t>MISRA C:2012, ASPICE L2</t>
  </si>
  <si>
    <t>Release Cadence</t>
  </si>
  <si>
    <t>45-Day Delivery Cycle</t>
  </si>
  <si>
    <t>TIO2 – TEAM RESOURCE REGISTER</t>
  </si>
  <si>
    <t>Resource Name</t>
  </si>
  <si>
    <t>Role</t>
  </si>
  <si>
    <t>Primary Skill</t>
  </si>
  <si>
    <t>Secondary Skill</t>
  </si>
  <si>
    <t>Skill Level</t>
  </si>
  <si>
    <t>Allocation %</t>
  </si>
  <si>
    <t>Availability %</t>
  </si>
  <si>
    <t>Karthik Subramaniam</t>
  </si>
  <si>
    <t>Technical Lead / AUTOSAR Architect</t>
  </si>
  <si>
    <t>AUTOSAR Stack Configuration</t>
  </si>
  <si>
    <t>MCAL Driver Integration</t>
  </si>
  <si>
    <t>Expert</t>
  </si>
  <si>
    <t>Lead for BSW baseline, RTE generation, OS scheduling. Acts as architecture reviewer for all AUTOSAR modules.</t>
  </si>
  <si>
    <t>Priya Meenakshi</t>
  </si>
  <si>
    <t>Senior CAN / Protocols Engineer</t>
  </si>
  <si>
    <t>CAN / J1939 Protocol Development</t>
  </si>
  <si>
    <t>COM Stack &amp; Signal Mapping</t>
  </si>
  <si>
    <t>Advanced</t>
  </si>
  <si>
    <t>Owns J1939 stack, CAN frame routing, address claiming, COM PDU configuration. CANoe scripting.</t>
  </si>
  <si>
    <t>Arjun Sundaram</t>
  </si>
  <si>
    <t>Diagnostics Engineer</t>
  </si>
  <si>
    <t>UDS Diagnostics &amp; DTC Management</t>
  </si>
  <si>
    <t>DCM / DEM Module Configuration</t>
  </si>
  <si>
    <t>Owns all UDS services (0x10–0x2E), DTC management, DCM/DEM config. 80% availability; 20% on parallel ASPICE audit task.</t>
  </si>
  <si>
    <t>Vikram Narayanan</t>
  </si>
  <si>
    <t>System Architect / Integration Lead</t>
  </si>
  <si>
    <t>ECU Integration &amp; Gateway Routing</t>
  </si>
  <si>
    <t>PDU Configuration</t>
  </si>
  <si>
    <t>Owns gateway routing tables, PDU config, end-to-end ECU integration, fleet telemetry pipeline design.</t>
  </si>
  <si>
    <t>Akshaya Krishnan</t>
  </si>
  <si>
    <t>Test Engineer</t>
  </si>
  <si>
    <t>HIL Testing &amp; CANoe Automation</t>
  </si>
  <si>
    <t>Regression &amp; Integration Testing</t>
  </si>
  <si>
    <t>Owns CANoe test harness, HIL bench execution, regression suites, OTA cycle validation. Test vehicle TV-07 dependency.</t>
  </si>
  <si>
    <t>Sandeep Annamalai</t>
  </si>
  <si>
    <t>Cybersecurity Engineer</t>
  </si>
  <si>
    <t>Automotive Cybersecurity (EVITA)</t>
  </si>
  <si>
    <t>SecOC &amp; Secure Boot</t>
  </si>
  <si>
    <t>Owns SecOC, HSM integration, TLS 1.3, IDS, secure boot chain. 80% allocated; 20% on corporate security audit. HSM board blocked (BLK-003).</t>
  </si>
  <si>
    <t>Divya Rajalakshmi</t>
  </si>
  <si>
    <t>Scrum Master</t>
  </si>
  <si>
    <t>Agile Delivery &amp; Sprint Tracking</t>
  </si>
  <si>
    <t>Stakeholder Communication</t>
  </si>
  <si>
    <t>Owns sprint ceremonies, velocity tracking, stakeholder reporting, risk escalation, Definition of Done governance.</t>
  </si>
  <si>
    <t>Meena Balasubramanian</t>
  </si>
  <si>
    <t>OTA / Firmware Engineer</t>
  </si>
  <si>
    <t>OTA Firmware Update Mechanisms</t>
  </si>
  <si>
    <t>Manifest &amp; Delta Packaging</t>
  </si>
  <si>
    <t>Intermediate</t>
  </si>
  <si>
    <t>Owns OTA session manager, delta packaging, rollback logic, progress reporting. Backend API contract blocked (BLK-004).</t>
  </si>
  <si>
    <t>TIO2 – SPRINT PLAN</t>
  </si>
  <si>
    <t>Sprint Name</t>
  </si>
  <si>
    <t>End Date</t>
  </si>
  <si>
    <t>Duration (Days)</t>
  </si>
  <si>
    <t>Sprint Goal</t>
  </si>
  <si>
    <t>Velocity (h)</t>
  </si>
  <si>
    <t>Carry-Over Items</t>
  </si>
  <si>
    <t>Platform Setup: Establish development environment, toolchain configuration (ETAS ISOLAR-A/B), AUTOSAR BSW baseline (MICROSAR), CAN driver scaffolding, ECU hardware abstraction layer init.</t>
  </si>
  <si>
    <t>Completed</t>
  </si>
  <si>
    <t>CAN Communication: Implement J1939 stack, CAN frame routing logic, signal mapping, PDU configuration, gateway routing table, CANoe test harness, address claiming procedure.</t>
  </si>
  <si>
    <t>Diagnostics: Develop UDS services (0x10, 0x11, 0x14, 0x19, 0x22, 0x27, 0x2E), DTC management, diagnostic session control. OEM spec blocker caused rework (+50h overrun).</t>
  </si>
  <si>
    <t>AUTOSAR Integration: RTE generation, SWC port mapping, MCAL integration (SPI/LIN/Eth), DCM/DEM modules, COM stack signal routing, NvM, BSP validation. HW bench blocker active.</t>
  </si>
  <si>
    <t>In Progress</t>
  </si>
  <si>
    <t>Sprint 5</t>
  </si>
  <si>
    <t>Cybersecurity: SecOC module, HSM key management &amp; certificate provisioning, TLS 1.3 for backend, EVITA HSM driver, secure boot chain, IDS configuration. Contingent on BLK-003 resolution by Sprint 5 start.</t>
  </si>
  <si>
    <t>Not Started</t>
  </si>
  <si>
    <t>TBD</t>
  </si>
  <si>
    <t>Sprint 6</t>
  </si>
  <si>
    <t>OTA Updates: Firmware delta packaging, OTA session manager, rollback &amp; recovery logic, manifest validation &amp; signature verification, HIL OTA update cycle test. Blocked on backend API contract (BLK-004) — must resolve by Sprint 5 close.</t>
  </si>
  <si>
    <t>Sprint 7</t>
  </si>
  <si>
    <t>System Integration: End-to-end ECU integration on HIL bench (TV-07 required), gateway routing validation, CAN+UDS+OTA regression suite, vehicle telemetry signal validation on target hardware.</t>
  </si>
  <si>
    <t>Sprint 8</t>
  </si>
  <si>
    <t>Release Readiness: Final regression, FOTA end-to-end validation, MISRA C:2012 compliance review &amp; waivers documentation, ASPICE L2 documentation package, customer sign-off with Daimler Truck engineering team.</t>
  </si>
  <si>
    <t>VELOCITY SUMMARY (Completed Sprints)</t>
  </si>
  <si>
    <t>Average Velocity (h/sprint)</t>
  </si>
  <si>
    <t>Velocity Std Dev (h)</t>
  </si>
  <si>
    <t>Velocity CoV (%) — Monte Carlo Input</t>
  </si>
  <si>
    <t>TIO2 – WORK ITEM REGISTER  (Sprint Backlog &amp; Actuals)</t>
  </si>
  <si>
    <t>Task ID</t>
  </si>
  <si>
    <t>Task Name</t>
  </si>
  <si>
    <t>Type</t>
  </si>
  <si>
    <t>Orig. Sprint</t>
  </si>
  <si>
    <t>Owner</t>
  </si>
  <si>
    <t>Required Skill</t>
  </si>
  <si>
    <t>Priority</t>
  </si>
  <si>
    <t>Orig Est (h)</t>
  </si>
  <si>
    <t>Curr Est (h)</t>
  </si>
  <si>
    <t>Actual Hrs</t>
  </si>
  <si>
    <t>Remaining Hrs</t>
  </si>
  <si>
    <t>Progress %</t>
  </si>
  <si>
    <t>Scope Change</t>
  </si>
  <si>
    <t>Scope Reason</t>
  </si>
  <si>
    <t>WI-001</t>
  </si>
  <si>
    <t>AUTOSAR BSW Baseline Configuration</t>
  </si>
  <si>
    <t>Feature</t>
  </si>
  <si>
    <t>High</t>
  </si>
  <si>
    <t>Yes</t>
  </si>
  <si>
    <t>Technical Debt – MICROSAR OS version mismatch required re-baselining</t>
  </si>
  <si>
    <t>WI-002</t>
  </si>
  <si>
    <t>Development Toolchain Setup (ETAS ISOLAR-A/B)</t>
  </si>
  <si>
    <t>Task</t>
  </si>
  <si>
    <t>No</t>
  </si>
  <si>
    <t>WI-003</t>
  </si>
  <si>
    <t>CAN Driver Scaffolding</t>
  </si>
  <si>
    <t>Story</t>
  </si>
  <si>
    <t>WI-004</t>
  </si>
  <si>
    <t>ECU Hardware Abstraction Layer (MCAL Init)</t>
  </si>
  <si>
    <t>Customer Request – MCU variant changed from TC387 to TC397 after kickoff</t>
  </si>
  <si>
    <t>WI-005</t>
  </si>
  <si>
    <t>CANoe Test Environment Setup</t>
  </si>
  <si>
    <t>Medium</t>
  </si>
  <si>
    <t>WI-006</t>
  </si>
  <si>
    <t>AUTOSAR OS Task Scheduling Configuration</t>
  </si>
  <si>
    <t>Technical Debt – OS category reconfigured from BCC1 to ECC2 after load analysis</t>
  </si>
  <si>
    <t>WI-007</t>
  </si>
  <si>
    <t>Spike: Evaluate ETAS RTA-OS vs MICROSAR OS</t>
  </si>
  <si>
    <t>Spike</t>
  </si>
  <si>
    <t>WI-008</t>
  </si>
  <si>
    <t>COM Stack Initial Configuration</t>
  </si>
  <si>
    <t>WI-009</t>
  </si>
  <si>
    <t>Version Control &amp; CI Pipeline Setup</t>
  </si>
  <si>
    <t>⚠ DELIBERATE SKILL MISMATCH: CI setup by Cybersecurity engineer – see Team sheet note</t>
  </si>
  <si>
    <t>WI-010</t>
  </si>
  <si>
    <t>Sprint 1 Definition of Done Review</t>
  </si>
  <si>
    <t>Low</t>
  </si>
  <si>
    <t>WI-011</t>
  </si>
  <si>
    <t>J1939 Protocol Stack Integration</t>
  </si>
  <si>
    <t>Customer Request – Daimler requested NMEA 2000 bridge support; J1939 scope extended</t>
  </si>
  <si>
    <t>WI-012</t>
  </si>
  <si>
    <t>CAN Frame Routing Logic Implementation</t>
  </si>
  <si>
    <t>Technical Debt – Redundant routing paths added for gateway failover; scope +6h</t>
  </si>
  <si>
    <t>WI-013</t>
  </si>
  <si>
    <t>Signal Mapping &amp; PDU Configuration</t>
  </si>
  <si>
    <t>WI-014</t>
  </si>
  <si>
    <t>CAN Gateway Routing Table Configuration</t>
  </si>
  <si>
    <t>Customer Request – 12 additional routing rules added for OBD2 PGN filtering</t>
  </si>
  <si>
    <t>WI-015</t>
  </si>
  <si>
    <t>CANoe Automated Test Harness (CAN Layer)</t>
  </si>
  <si>
    <t>WI-016</t>
  </si>
  <si>
    <t>Spike: CAN FD Feasibility for High-BW Signals</t>
  </si>
  <si>
    <t>WI-017</t>
  </si>
  <si>
    <t>CAN Bus Error Handling &amp; Fault Injection Tests</t>
  </si>
  <si>
    <t>WI-018</t>
  </si>
  <si>
    <t>J1939 Address Claiming Procedure</t>
  </si>
  <si>
    <t>WI-019</t>
  </si>
  <si>
    <t>UDS Service 0x10 – Diagnostic Session Control</t>
  </si>
  <si>
    <t>WI-020</t>
  </si>
  <si>
    <t>UDS Service 0x27 – Security Access</t>
  </si>
  <si>
    <t>WI-021</t>
  </si>
  <si>
    <t>UDS Service 0x19 – Read DTC Information</t>
  </si>
  <si>
    <t>Customer Request – Daimler extended DTC snapshot data record size from 4 to 16 bytes</t>
  </si>
  <si>
    <t>WI-022</t>
  </si>
  <si>
    <t>DTC Management – Fault Storage &amp; Ageing</t>
  </si>
  <si>
    <t>WI-023</t>
  </si>
  <si>
    <t>UDS Service 0x22/0x2E – Data Identifier R/W</t>
  </si>
  <si>
    <t>WI-024</t>
  </si>
  <si>
    <t>Diagnostic Logging Module</t>
  </si>
  <si>
    <t>WI-025</t>
  </si>
  <si>
    <t>CANoe Diagnostic Test Script (KWP/UDS)</t>
  </si>
  <si>
    <t>WI-026</t>
  </si>
  <si>
    <t>Defect: UDS 0x10 Session Timeout Not Honoured</t>
  </si>
  <si>
    <t>Defect</t>
  </si>
  <si>
    <t>WI-027</t>
  </si>
  <si>
    <t>Spike: OEM-Specific DTC Extension Requirements</t>
  </si>
  <si>
    <t>WI-028</t>
  </si>
  <si>
    <t>Fleet Telemetry Data Pipeline Design</t>
  </si>
  <si>
    <t>Regulatory – GDPR data residency requirements added; pipeline design scope expanded mid-Sprint 3. Carried to Sprint 4.</t>
  </si>
  <si>
    <t>WI-029</t>
  </si>
  <si>
    <t>AUTOSAR RTE Generation &amp; SWC Port Mapping</t>
  </si>
  <si>
    <t>WI-030</t>
  </si>
  <si>
    <t>MCAL Driver Integration (SPI, LIN, Ethernet)</t>
  </si>
  <si>
    <t>Enhancement – Ethernet AUTOSAR Driver (EthIf/EthTrcv) added for OTA channel requirement</t>
  </si>
  <si>
    <t>WI-031</t>
  </si>
  <si>
    <t>DCM Module Configuration &amp; Session Handling</t>
  </si>
  <si>
    <t>WI-032</t>
  </si>
  <si>
    <t>DEM Module Configuration &amp; Event Handling</t>
  </si>
  <si>
    <t>WI-033</t>
  </si>
  <si>
    <t>COM Stack Signal Routing (AUTOSAR COM)</t>
  </si>
  <si>
    <t>WI-034</t>
  </si>
  <si>
    <t>NvM Module – Non-Volatile Storage Configuration</t>
  </si>
  <si>
    <t>WI-035</t>
  </si>
  <si>
    <t>AUTOSAR Integration Test – RTE Scheduler</t>
  </si>
  <si>
    <t>WI-036</t>
  </si>
  <si>
    <t>Defect: RTE Runnable Period Drift Under Load</t>
  </si>
  <si>
    <t>WI-037</t>
  </si>
  <si>
    <t>Gateway ECU Board Support Package Validation</t>
  </si>
  <si>
    <t>Enhancement – Additional board variants (VCU-A, VCU-B) added to validation scope. HW bench unavailable (BLK-002).</t>
  </si>
  <si>
    <t>WI-038</t>
  </si>
  <si>
    <t>Memory Footprint Analysis &amp; Stack Profiling</t>
  </si>
  <si>
    <t>Carry-over from Sprint 4. Stack profiling blocked until BLK-002 hardware bench available.</t>
  </si>
  <si>
    <t>WI-039</t>
  </si>
  <si>
    <t>Spike: AUTOSAR Adaptive vs Classic for OTA Path</t>
  </si>
  <si>
    <t>WI-040</t>
  </si>
  <si>
    <t>Defect: COM PDU Transmission Timing Deviation</t>
  </si>
  <si>
    <t>Blocked</t>
  </si>
  <si>
    <t>Carried from Sprint 4. Root cause requires HW bench HB-03 for timing measurement. Blocked by BLK-002.</t>
  </si>
  <si>
    <t>WI-041</t>
  </si>
  <si>
    <t>SecOC Module Implementation</t>
  </si>
  <si>
    <t>WI-042</t>
  </si>
  <si>
    <t>HSM Key Management &amp; Certificate Provisioning</t>
  </si>
  <si>
    <t>WI-043</t>
  </si>
  <si>
    <t>Secure Boot Chain Verification</t>
  </si>
  <si>
    <t>WI-044</t>
  </si>
  <si>
    <t>TLS 1.3 for Backend Communication</t>
  </si>
  <si>
    <t>WI-045</t>
  </si>
  <si>
    <t>Cybersecurity Test Plan &amp; Attack Surface Analysis</t>
  </si>
  <si>
    <t>Blocked by BLK-003 – HSM board not available; test execution cannot begin</t>
  </si>
  <si>
    <t>WI-046</t>
  </si>
  <si>
    <t>EVITA HSM Driver Integration</t>
  </si>
  <si>
    <t>WI-047</t>
  </si>
  <si>
    <t>Intrusion Detection System (IDS) Configuration</t>
  </si>
  <si>
    <t>WI-048</t>
  </si>
  <si>
    <t>OTA Session Manager Implementation</t>
  </si>
  <si>
    <t>Backend API contract blocked (BLK-004). Target: contract by end of Sprint 5.</t>
  </si>
  <si>
    <t>WI-049</t>
  </si>
  <si>
    <t>Firmware Delta Packaging Tool</t>
  </si>
  <si>
    <t>WI-050</t>
  </si>
  <si>
    <t>OTA Rollback &amp; Recovery Logic</t>
  </si>
  <si>
    <t>WI-051</t>
  </si>
  <si>
    <t>Manifest Validation &amp; Signature Verification</t>
  </si>
  <si>
    <t>WI-052</t>
  </si>
  <si>
    <t>OTA Progress Reporting to Fleet Backend</t>
  </si>
  <si>
    <t>WI-053</t>
  </si>
  <si>
    <t>HIL Test: OTA Update Cycle Validation</t>
  </si>
  <si>
    <t>Requires test vehicle TV-07 (BLK-005). Reconfirmed available Sprint 7.</t>
  </si>
  <si>
    <t>WI-054</t>
  </si>
  <si>
    <t>Spike: Delta Compression Algorithm Evaluation</t>
  </si>
  <si>
    <t>WI-055</t>
  </si>
  <si>
    <t>End-to-End HIL Bench Integration Test</t>
  </si>
  <si>
    <t>Critical path. Requires BLK-005 resolved (TV-07 available). Buffer: 8h scope added per test manager.</t>
  </si>
  <si>
    <t>WI-056</t>
  </si>
  <si>
    <t>Gateway Routing End-to-End Validation</t>
  </si>
  <si>
    <t>WI-057</t>
  </si>
  <si>
    <t>CAN + UDS + OTA Regression Test Suite</t>
  </si>
  <si>
    <t>WI-058</t>
  </si>
  <si>
    <t>Vehicle Telemetry Signal Validation on Target</t>
  </si>
  <si>
    <t>WI-059</t>
  </si>
  <si>
    <t>Defect: CAN Timing Violation Under Full Bus Load</t>
  </si>
  <si>
    <t>Pre-emptively opened based on Sprint 4 COM PDU timing observations. Likely latent defect.</t>
  </si>
  <si>
    <t>WI-060</t>
  </si>
  <si>
    <t>Final MISRA C:2012 Compliance Review &amp; Waivers</t>
  </si>
  <si>
    <t>WI-061</t>
  </si>
  <si>
    <t>ASPICE L2 Audit Documentation Package</t>
  </si>
  <si>
    <t>WI-062</t>
  </si>
  <si>
    <t>FOTA End-to-End System Validation</t>
  </si>
  <si>
    <t>WI-063</t>
  </si>
  <si>
    <t>Customer Sign-Off Demo – Daimler Truck</t>
  </si>
  <si>
    <t>WI-064</t>
  </si>
  <si>
    <t>Release Notes &amp; Configuration Baseline Lock</t>
  </si>
  <si>
    <t>WI-065</t>
  </si>
  <si>
    <t>Sprint 8 Definition of Done &amp; Project Retrospective</t>
  </si>
  <si>
    <t>TOTALS</t>
  </si>
  <si>
    <t>TIO2 – DEPENDENCY REGISTER  (Critical Path &amp; Lag Analysis)</t>
  </si>
  <si>
    <t>Dep ID</t>
  </si>
  <si>
    <t>Predecessor Task</t>
  </si>
  <si>
    <t>Sucessor Task</t>
  </si>
  <si>
    <t>Dependency Type</t>
  </si>
  <si>
    <t>Critical Path</t>
  </si>
  <si>
    <t>Lag Days</t>
  </si>
  <si>
    <t>DEP-001</t>
  </si>
  <si>
    <t>Finish-To-Start</t>
  </si>
  <si>
    <t>CAN Driver Scaffolding requires AUTOSAR BSW baseline fully configured</t>
  </si>
  <si>
    <t>DEP-002</t>
  </si>
  <si>
    <t>MCAL Init depends on BSW baseline OS and memory mapping</t>
  </si>
  <si>
    <t>DEP-003</t>
  </si>
  <si>
    <t>J1939 stack integration requires CAN driver scaffolding complete</t>
  </si>
  <si>
    <t>DEP-004</t>
  </si>
  <si>
    <t>PDU configuration builds on CAN driver and COM stack init</t>
  </si>
  <si>
    <t>DEP-005</t>
  </si>
  <si>
    <t>UDS diagnostic services require functional CAN/J1939 stack (transport layer)</t>
  </si>
  <si>
    <t>DEP-006</t>
  </si>
  <si>
    <t>Diagnostic Logging requires DTC management module operational</t>
  </si>
  <si>
    <t>DEP-007</t>
  </si>
  <si>
    <t>RTE generation depends on MCAL and BSW modules being integrated</t>
  </si>
  <si>
    <t>DEP-008</t>
  </si>
  <si>
    <t>DCM session handling depends on UDS Service 0x10 implementation</t>
  </si>
  <si>
    <t>DEP-009</t>
  </si>
  <si>
    <t>SecOC module requires RTE and COM stack integration complete. 1-day lag for RTE sign-off.</t>
  </si>
  <si>
    <t>DEP-010</t>
  </si>
  <si>
    <t>AUDIT FIX: Secure boot chain verification depends on HSM key management &amp; certificate provisioning (was incorrectly DEP-010 WI-041). 2-day lag for HSM provisioning handoff.</t>
  </si>
  <si>
    <t>DEP-011</t>
  </si>
  <si>
    <t>OTA session manager requires secure channel (TLS/SecOC) established. 2-day lag for security sign-off.</t>
  </si>
  <si>
    <t>DEP-012</t>
  </si>
  <si>
    <t>Manifest validation depends on OTA session manager scaffolding. 1-day lag.</t>
  </si>
  <si>
    <t>DEP-013</t>
  </si>
  <si>
    <t>HIL bench integration requires OTA update cycle validation complete. 1-day lab setup lag.</t>
  </si>
  <si>
    <t>DEP-014</t>
  </si>
  <si>
    <t>Final MISRA C review requires system integration test sign-off</t>
  </si>
  <si>
    <t>DEP-015</t>
  </si>
  <si>
    <t>Fleet telemetry pipeline depends on Diagnostic Logging module</t>
  </si>
  <si>
    <t>DEP-016</t>
  </si>
  <si>
    <t>COM stack routing depends on signal mapping and PDU configuration</t>
  </si>
  <si>
    <t>DEP-017</t>
  </si>
  <si>
    <t>COM PDU timing defect investigation requires signal routing complete</t>
  </si>
  <si>
    <t>DEP-018</t>
  </si>
  <si>
    <t>Gateway routing E2E validation requires OTA session manager. 1-day integration lag.</t>
  </si>
  <si>
    <t>DEP-019</t>
  </si>
  <si>
    <t>Firmware Delta Packaging Tool implementation follows spike algorithm evaluation</t>
  </si>
  <si>
    <t>DEP-020</t>
  </si>
  <si>
    <t>Regression test suite runs after E2E HIL bench integration test passes</t>
  </si>
  <si>
    <t>DEP-021</t>
  </si>
  <si>
    <t>FOTA end-to-end validation requires rollback &amp; recovery logic implemented. 1-day test prep lag.</t>
  </si>
  <si>
    <t>DEP-022</t>
  </si>
  <si>
    <t>TLS 1.3 backend communication depends on HSM key infrastructure from WI-042</t>
  </si>
  <si>
    <t>DEP-023</t>
  </si>
  <si>
    <t>Telemetry signal validation on target follows gateway routing E2E validation</t>
  </si>
  <si>
    <t>TIO2 – BLOCKER REGISTER</t>
  </si>
  <si>
    <t>Blocker ID</t>
  </si>
  <si>
    <t>Related Task</t>
  </si>
  <si>
    <t>Impacted Task IDs</t>
  </si>
  <si>
    <t>Severity</t>
  </si>
  <si>
    <t>Raised Date</t>
  </si>
  <si>
    <t>Target Resolution</t>
  </si>
  <si>
    <t>Actual Resolution</t>
  </si>
  <si>
    <t>Notes / Escalation Path</t>
  </si>
  <si>
    <t>BLK-001</t>
  </si>
  <si>
    <t>WI-021, WI-027, WI-028</t>
  </si>
  <si>
    <t>Critical</t>
  </si>
  <si>
    <t>Open</t>
  </si>
  <si>
    <t>OEM Diagnostic Specification DS_Diag_TIO2_v2.1 not released by Daimler Truck. Blocking UDS parameter tuning (snapshot record size, DTC extension byte layout) and fleet telemetry data schema. Escalated to Suresh Iyer → Dr. Klaus Bergmann on 2025-02-24. Partial spec received 2025-03-01 (sections 3–6 only). Sections 7–9 (DTC extensions) pending. IMPACT: 50h Sprint 3 overrun; WI-028 carried to Sprint 4.</t>
  </si>
  <si>
    <t>BLK-002</t>
  </si>
  <si>
    <t>WI-030, WI-037, WI-038, WI-040</t>
  </si>
  <si>
    <t>Hardware Bench HB-03 allocated to calibration lab for ECU-B variant testing (parallel project). BSP validation, memory stack profiling, and COM PDU timing defect (WI-040) all require physical bench access for oscilloscope + CANalyzer timing measurements. Bench reconfirmed available 2025-03-18. IMPACT: 3 work items In Progress at Sprint 4 close; WI-040 blocked and rescheduled to Sprint 5.</t>
  </si>
  <si>
    <t>BLK-003</t>
  </si>
  <si>
    <t>WI-041, WI-042, WI-043, WI-045, WI-046</t>
  </si>
  <si>
    <t>NXP SE050 HSM evaluation board not received. PO raised 2025-02-10; NXP confirmed shipment delay due to semiconductor allocation issues. Expedited order placed 2025-02-28. Without HSM board: SecOC module cannot be validated, EVITA key provisioning cannot run, secure boot chain test cannot execute. Entire Sprint 5 Cybersecurity stream at risk. Mitigation: Procurement exploring alternate supplier (Infineon SLx9670). IMPACT: If not resolved by 2025-03-17 (Sprint 5 start), Sprint 5 scope must be rebalanced.</t>
  </si>
  <si>
    <t>BLK-004</t>
  </si>
  <si>
    <t>WI-048, WI-050, WI-051, WI-052, WI-062</t>
  </si>
  <si>
    <t>Daimler Fleet Team backend OTA API specification (REST contract + authentication schema) not delivered. Initial draft promised 2025-02-28; now delayed to end of March. OTA session manager, rollback logic, and fleet progress reporting cannot be finalised without the API contract. Manifest signature schema also depends on this. Escalated to Suresh Iyer 2025-03-05. IMPACT: OTA Sprint 6 stream at risk of 1-sprint slip.</t>
  </si>
  <si>
    <t>BLK-005</t>
  </si>
  <si>
    <t>WI-053, WI-055, WI-057</t>
  </si>
  <si>
    <t>Test Vehicle TV-07 (ECU integration bench target) allocated to parallel program (TIO1 winter testing) through end of Sprint 6. Confirmed available from 2025-04-14 (Sprint 7 start). HIL bench integration test and OTA cycle validation cannot start until vehicle is returned. IMPACT: Contained within Sprint 7 plan if TV-07 returned on schedule. Risk: if return delayed, Sprint 7 compression will threaten Sprint 8 release.</t>
  </si>
  <si>
    <t>ProjectStatus</t>
  </si>
  <si>
    <t>SprintStatus</t>
  </si>
  <si>
    <t>WorkItemType</t>
  </si>
  <si>
    <t>WorkItemStatus</t>
  </si>
  <si>
    <t>YesNo</t>
  </si>
  <si>
    <t>ScopeReason</t>
  </si>
  <si>
    <t>DependencyType</t>
  </si>
  <si>
    <t>BlockerStatus</t>
  </si>
  <si>
    <t>BlockerCategory</t>
  </si>
  <si>
    <t>Owners</t>
  </si>
  <si>
    <t>Skills</t>
  </si>
  <si>
    <t>Sprints</t>
  </si>
  <si>
    <t>Customer Request</t>
  </si>
  <si>
    <t>Vendor</t>
  </si>
  <si>
    <t>On Hold</t>
  </si>
  <si>
    <t>Regulatory</t>
  </si>
  <si>
    <t>Start-To-Start</t>
  </si>
  <si>
    <t>Hardware</t>
  </si>
  <si>
    <t>Technical Debt</t>
  </si>
  <si>
    <t>Finish-To-Finish</t>
  </si>
  <si>
    <t>Resolved</t>
  </si>
  <si>
    <t>Specification</t>
  </si>
  <si>
    <t>Cancelled</t>
  </si>
  <si>
    <t>Closed</t>
  </si>
  <si>
    <t>Resource</t>
  </si>
  <si>
    <t>Deferred</t>
  </si>
  <si>
    <t>Enhancement</t>
  </si>
  <si>
    <t>Environment</t>
  </si>
  <si>
    <t>Other</t>
  </si>
  <si>
    <t>Security</t>
  </si>
  <si>
    <t>Compliance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</si>
</sst>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dd\-mmm\-yyyy"/>
    <numFmt numFmtId="165" formatCode="0.0"/>
    <numFmt numFmtId="166" formatCode="0.0%"/>
    <numFmt numFmtId="167" formatCode="\+#,##0;\-#,##0;&quot;-&quot;"/>
  </numFmts>
  <fonts count="17" x14ac:knownFonts="1">
    <font>
      <sz val="11"/>
      <color theme="1"/>
      <name val="Calibri"/>
      <family val="2"/>
      <scheme val="minor"/>
    </font>
    <font>
      <b/>
      <sz val="14"/>
      <color rgb="FFFFFFFF"/>
      <name val="Calibri"/>
      <family val="2"/>
    </font>
    <font>
      <b/>
      <sz val="10"/>
      <color rgb="FFFFFFFF"/>
      <name val="Calibri"/>
      <family val="2"/>
    </font>
    <font>
      <sz val="9"/>
      <color rgb="FF000000"/>
      <name val="Calibri"/>
      <family val="2"/>
    </font>
    <font>
      <b/>
      <sz val="11"/>
      <color rgb="FFFFFFFF"/>
      <name val="Calibri"/>
      <family val="2"/>
    </font>
    <font>
      <b/>
      <sz val="9"/>
      <color rgb="FF000000"/>
      <name val="Calibri"/>
      <family val="2"/>
    </font>
    <font>
      <b/>
      <sz val="13"/>
      <color rgb="FFFFFFFF"/>
      <name val="Calibri"/>
      <family val="2"/>
    </font>
    <font>
      <b/>
      <sz val="9"/>
      <color rgb="FFB34700"/>
      <name val="Calibri"/>
      <family val="2"/>
    </font>
    <font>
      <i/>
      <sz val="9"/>
      <color rgb="FF888888"/>
      <name val="Calibri"/>
      <family val="2"/>
    </font>
    <font>
      <b/>
      <sz val="9"/>
      <color rgb="FF7D2E00"/>
      <name val="Calibri"/>
      <family val="2"/>
    </font>
    <font>
      <b/>
      <sz val="9"/>
      <color rgb="FF7D3500"/>
      <name val="Calibri"/>
      <family val="2"/>
    </font>
    <font>
      <u/>
      <sz val="9"/>
      <color rgb="FF0563C1"/>
      <name val="Calibri"/>
      <family val="2"/>
    </font>
    <font>
      <b/>
      <sz val="9"/>
      <color rgb="FFCC0000"/>
      <name val="Calibri"/>
      <family val="2"/>
    </font>
    <font>
      <b/>
      <sz val="9"/>
      <color rgb="FF7D6800"/>
      <name val="Calibri"/>
      <family val="2"/>
    </font>
    <font>
      <b/>
      <sz val="9"/>
      <color rgb="FF7D4E00"/>
      <name val="Calibri"/>
      <family val="2"/>
    </font>
    <font>
      <b/>
      <sz val="9"/>
      <color rgb="FFFFFFFF"/>
      <name val="Calibri"/>
      <family val="2"/>
    </font>
    <font>
      <b/>
      <sz val="9"/>
      <color rgb="FF006400"/>
      <name val="Calibri"/>
      <family val="2"/>
    </font>
  </fonts>
  <fills count="22">
    <fill>
      <patternFill patternType="none"/>
    </fill>
    <fill>
      <patternFill patternType="gray125"/>
    </fill>
    <fill>
      <patternFill patternType="solid">
        <fgColor rgb="FF1F2D3D"/>
      </patternFill>
    </fill>
    <fill>
      <patternFill patternType="solid">
        <fgColor rgb="FF2E4057"/>
      </patternFill>
    </fill>
    <fill>
      <patternFill patternType="solid">
        <fgColor rgb="FFE8F4FD"/>
      </patternFill>
    </fill>
    <fill>
      <patternFill patternType="solid">
        <fgColor rgb="FF048A81"/>
      </patternFill>
    </fill>
    <fill>
      <patternFill patternType="solid">
        <fgColor rgb="FFEEF2F7"/>
      </patternFill>
    </fill>
    <fill>
      <patternFill patternType="solid">
        <fgColor rgb="FFFFFFFF"/>
      </patternFill>
    </fill>
    <fill>
      <patternFill patternType="solid">
        <fgColor rgb="FFD5F5E3"/>
      </patternFill>
    </fill>
    <fill>
      <patternFill patternType="solid">
        <fgColor rgb="FFD6EAF8"/>
      </patternFill>
    </fill>
    <fill>
      <patternFill patternType="solid">
        <fgColor rgb="FFFEF9E7"/>
      </patternFill>
    </fill>
    <fill>
      <patternFill patternType="solid">
        <fgColor rgb="FFFFF3CD"/>
      </patternFill>
    </fill>
    <fill>
      <patternFill patternType="solid">
        <fgColor rgb="FFD6F5E3"/>
      </patternFill>
    </fill>
    <fill>
      <patternFill patternType="solid">
        <fgColor rgb="FFFFE0B2"/>
      </patternFill>
    </fill>
    <fill>
      <patternFill patternType="solid">
        <fgColor rgb="FFF5F5F5"/>
      </patternFill>
    </fill>
    <fill>
      <patternFill patternType="solid">
        <fgColor rgb="FFFF944D"/>
      </patternFill>
    </fill>
    <fill>
      <patternFill patternType="solid">
        <fgColor rgb="FFFFD966"/>
      </patternFill>
    </fill>
    <fill>
      <patternFill patternType="solid">
        <fgColor rgb="FF90EE90"/>
      </patternFill>
    </fill>
    <fill>
      <patternFill patternType="solid">
        <fgColor rgb="FFFFD7B5"/>
      </patternFill>
    </fill>
    <fill>
      <patternFill patternType="solid">
        <fgColor rgb="FFFDDCDC"/>
      </patternFill>
    </fill>
    <fill>
      <patternFill patternType="solid">
        <fgColor rgb="FFFFF9C4"/>
      </patternFill>
    </fill>
    <fill>
      <patternFill patternType="solid">
        <fgColor rgb="FFFF4D4D"/>
      </patternFill>
    </fill>
  </fills>
  <borders count="5">
    <border>
      <left/>
      <right/>
      <top/>
      <bottom/>
      <diagonal/>
    </border>
    <border>
      <left style="medium">
        <color rgb="FF1F2D3D"/>
      </left>
      <right style="medium">
        <color rgb="FF1F2D3D"/>
      </right>
      <top style="medium">
        <color rgb="FF1F2D3D"/>
      </top>
      <bottom style="medium">
        <color rgb="FF1F2D3D"/>
      </bottom>
      <diagonal/>
    </border>
    <border>
      <left style="thin">
        <color rgb="FFCCCCCC"/>
      </left>
      <right style="thin">
        <color rgb="FFCCCCCC"/>
      </right>
      <top style="thin">
        <color rgb="FFCCCCCC"/>
      </top>
      <bottom style="thin">
        <color rgb="FFCCCCCC"/>
      </bottom>
      <diagonal/>
    </border>
    <border>
      <left/>
      <right/>
      <top style="thin">
        <color rgb="FFCCCCCC"/>
      </top>
      <bottom style="thin">
        <color rgb="FFCCCCCC"/>
      </bottom>
      <diagonal/>
    </border>
    <border>
      <left/>
      <right style="thin">
        <color rgb="FFCCCCCC"/>
      </right>
      <top style="thin">
        <color rgb="FFCCCCCC"/>
      </top>
      <bottom style="thin">
        <color rgb="FFCCCCCC"/>
      </bottom>
      <diagonal/>
    </border>
  </borders>
  <cellStyleXfs count="1">
    <xf numFmtId="0" fontId="0" fillId="0" borderId="0"/>
  </cellStyleXfs>
  <cellXfs count="70">
    <xf numFmtId="0" fontId="0" fillId="0" borderId="0" xfId="0"/>
    <xf numFmtId="0" fontId="2" fillId="3" borderId="1" xfId="0" applyFont="1" applyFill="1" applyBorder="1" applyAlignment="1">
      <alignment horizontal="center" vertical="center" wrapText="1"/>
    </xf>
    <xf numFmtId="0" fontId="3" fillId="4" borderId="2" xfId="0" applyFont="1" applyFill="1" applyBorder="1" applyAlignment="1">
      <alignment horizontal="left" vertical="center" wrapText="1"/>
    </xf>
    <xf numFmtId="164" fontId="3" fillId="4" borderId="2" xfId="0" applyNumberFormat="1" applyFont="1" applyFill="1" applyBorder="1" applyAlignment="1">
      <alignment horizontal="left" vertical="center" wrapText="1"/>
    </xf>
    <xf numFmtId="0" fontId="5" fillId="6" borderId="2" xfId="0" applyFont="1" applyFill="1" applyBorder="1"/>
    <xf numFmtId="0" fontId="3" fillId="7" borderId="2" xfId="0" applyFont="1" applyFill="1" applyBorder="1"/>
    <xf numFmtId="0" fontId="0" fillId="0" borderId="2" xfId="0" applyBorder="1"/>
    <xf numFmtId="0" fontId="3" fillId="7" borderId="2" xfId="0" applyFont="1" applyFill="1" applyBorder="1" applyAlignment="1">
      <alignment horizontal="left" vertical="center" wrapText="1"/>
    </xf>
    <xf numFmtId="0" fontId="5" fillId="8" borderId="2" xfId="0" applyFont="1" applyFill="1" applyBorder="1" applyAlignment="1">
      <alignment horizontal="center" vertical="center"/>
    </xf>
    <xf numFmtId="9" fontId="5" fillId="7" borderId="2" xfId="0" applyNumberFormat="1" applyFont="1" applyFill="1" applyBorder="1" applyAlignment="1">
      <alignment horizontal="center" vertical="center"/>
    </xf>
    <xf numFmtId="0" fontId="3" fillId="6" borderId="2" xfId="0" applyFont="1" applyFill="1" applyBorder="1" applyAlignment="1">
      <alignment horizontal="left" vertical="center" wrapText="1"/>
    </xf>
    <xf numFmtId="0" fontId="5" fillId="9" borderId="2" xfId="0" applyFont="1" applyFill="1" applyBorder="1" applyAlignment="1">
      <alignment horizontal="center" vertical="center"/>
    </xf>
    <xf numFmtId="9" fontId="5" fillId="6" borderId="2" xfId="0" applyNumberFormat="1" applyFont="1" applyFill="1" applyBorder="1" applyAlignment="1">
      <alignment horizontal="center" vertical="center"/>
    </xf>
    <xf numFmtId="0" fontId="5" fillId="10" borderId="2" xfId="0" applyFont="1" applyFill="1" applyBorder="1" applyAlignment="1">
      <alignment horizontal="center" vertical="center"/>
    </xf>
    <xf numFmtId="0" fontId="5" fillId="12" borderId="2" xfId="0" applyFont="1" applyFill="1" applyBorder="1" applyAlignment="1">
      <alignment horizontal="left" vertical="center" wrapText="1"/>
    </xf>
    <xf numFmtId="164" fontId="3" fillId="12" borderId="2" xfId="0" applyNumberFormat="1" applyFont="1" applyFill="1" applyBorder="1" applyAlignment="1">
      <alignment horizontal="left" vertical="center" wrapText="1"/>
    </xf>
    <xf numFmtId="0" fontId="3" fillId="12" borderId="2" xfId="0" applyFont="1" applyFill="1" applyBorder="1" applyAlignment="1">
      <alignment horizontal="left" vertical="center" wrapText="1"/>
    </xf>
    <xf numFmtId="0" fontId="5" fillId="12" borderId="2" xfId="0" applyFont="1" applyFill="1" applyBorder="1" applyAlignment="1">
      <alignment horizontal="center" vertical="center"/>
    </xf>
    <xf numFmtId="3" fontId="3" fillId="12" borderId="2" xfId="0" applyNumberFormat="1" applyFont="1" applyFill="1" applyBorder="1" applyAlignment="1">
      <alignment horizontal="left" vertical="center" wrapText="1"/>
    </xf>
    <xf numFmtId="0" fontId="7" fillId="13" borderId="2" xfId="0" applyFont="1" applyFill="1" applyBorder="1" applyAlignment="1">
      <alignment horizontal="center" vertical="center"/>
    </xf>
    <xf numFmtId="0" fontId="5" fillId="11" borderId="2" xfId="0" applyFont="1" applyFill="1" applyBorder="1" applyAlignment="1">
      <alignment horizontal="left" vertical="center" wrapText="1"/>
    </xf>
    <xf numFmtId="164" fontId="3" fillId="11" borderId="2" xfId="0" applyNumberFormat="1" applyFont="1" applyFill="1" applyBorder="1" applyAlignment="1">
      <alignment horizontal="left" vertical="center" wrapText="1"/>
    </xf>
    <xf numFmtId="0" fontId="3" fillId="11" borderId="2" xfId="0" applyFont="1" applyFill="1" applyBorder="1" applyAlignment="1">
      <alignment horizontal="left" vertical="center" wrapText="1"/>
    </xf>
    <xf numFmtId="0" fontId="5" fillId="11" borderId="2" xfId="0" applyFont="1" applyFill="1" applyBorder="1" applyAlignment="1">
      <alignment horizontal="center" vertical="center"/>
    </xf>
    <xf numFmtId="3" fontId="3" fillId="11" borderId="2" xfId="0" applyNumberFormat="1" applyFont="1" applyFill="1" applyBorder="1" applyAlignment="1">
      <alignment horizontal="left" vertical="center" wrapText="1"/>
    </xf>
    <xf numFmtId="0" fontId="5" fillId="14" borderId="2" xfId="0" applyFont="1" applyFill="1" applyBorder="1" applyAlignment="1">
      <alignment horizontal="left" vertical="center" wrapText="1"/>
    </xf>
    <xf numFmtId="164" fontId="3" fillId="14" borderId="2" xfId="0" applyNumberFormat="1" applyFont="1" applyFill="1" applyBorder="1" applyAlignment="1">
      <alignment horizontal="left" vertical="center" wrapText="1"/>
    </xf>
    <xf numFmtId="0" fontId="3" fillId="14" borderId="2" xfId="0" applyFont="1" applyFill="1" applyBorder="1" applyAlignment="1">
      <alignment horizontal="left" vertical="center" wrapText="1"/>
    </xf>
    <xf numFmtId="0" fontId="5" fillId="14" borderId="2" xfId="0" applyFont="1" applyFill="1" applyBorder="1" applyAlignment="1">
      <alignment horizontal="center" vertical="center"/>
    </xf>
    <xf numFmtId="0" fontId="8" fillId="14" borderId="2" xfId="0" applyFont="1" applyFill="1" applyBorder="1" applyAlignment="1">
      <alignment horizontal="left" vertical="center" wrapText="1"/>
    </xf>
    <xf numFmtId="0" fontId="3" fillId="14" borderId="2" xfId="0" applyFont="1" applyFill="1" applyBorder="1" applyAlignment="1">
      <alignment horizontal="center" vertical="center"/>
    </xf>
    <xf numFmtId="0" fontId="3" fillId="4" borderId="2" xfId="0" applyFont="1" applyFill="1" applyBorder="1"/>
    <xf numFmtId="3" fontId="3" fillId="4" borderId="2" xfId="0" applyNumberFormat="1" applyFont="1" applyFill="1" applyBorder="1"/>
    <xf numFmtId="165" fontId="3" fillId="4" borderId="2" xfId="0" applyNumberFormat="1" applyFont="1" applyFill="1" applyBorder="1"/>
    <xf numFmtId="166" fontId="3" fillId="4" borderId="2" xfId="0" applyNumberFormat="1" applyFont="1" applyFill="1" applyBorder="1"/>
    <xf numFmtId="0" fontId="5" fillId="7" borderId="2" xfId="0" applyFont="1" applyFill="1" applyBorder="1" applyAlignment="1">
      <alignment horizontal="center" vertical="center"/>
    </xf>
    <xf numFmtId="0" fontId="5" fillId="15" borderId="2" xfId="0" applyFont="1" applyFill="1" applyBorder="1" applyAlignment="1">
      <alignment horizontal="center" vertical="center"/>
    </xf>
    <xf numFmtId="9" fontId="3" fillId="7" borderId="2" xfId="0" applyNumberFormat="1" applyFont="1" applyFill="1" applyBorder="1" applyAlignment="1">
      <alignment horizontal="left" vertical="center" wrapText="1"/>
    </xf>
    <xf numFmtId="0" fontId="9" fillId="13" borderId="2" xfId="0" applyFont="1" applyFill="1" applyBorder="1" applyAlignment="1">
      <alignment horizontal="center" vertical="center"/>
    </xf>
    <xf numFmtId="0" fontId="5" fillId="6" borderId="2" xfId="0" applyFont="1" applyFill="1" applyBorder="1" applyAlignment="1">
      <alignment horizontal="center" vertical="center"/>
    </xf>
    <xf numFmtId="9" fontId="3" fillId="6" borderId="2" xfId="0" applyNumberFormat="1" applyFont="1" applyFill="1" applyBorder="1" applyAlignment="1">
      <alignment horizontal="left" vertical="center" wrapText="1"/>
    </xf>
    <xf numFmtId="0" fontId="5" fillId="16" borderId="2" xfId="0" applyFont="1" applyFill="1" applyBorder="1" applyAlignment="1">
      <alignment horizontal="center" vertical="center"/>
    </xf>
    <xf numFmtId="0" fontId="5" fillId="17" borderId="2" xfId="0" applyFont="1" applyFill="1" applyBorder="1" applyAlignment="1">
      <alignment horizontal="center" vertical="center"/>
    </xf>
    <xf numFmtId="0" fontId="10" fillId="18" borderId="2" xfId="0" applyFont="1" applyFill="1" applyBorder="1" applyAlignment="1">
      <alignment horizontal="left" vertical="center" wrapText="1"/>
    </xf>
    <xf numFmtId="0" fontId="5" fillId="19" borderId="2" xfId="0" applyFont="1" applyFill="1" applyBorder="1" applyAlignment="1">
      <alignment horizontal="center" vertical="center"/>
    </xf>
    <xf numFmtId="0" fontId="2" fillId="5" borderId="0" xfId="0" applyFont="1" applyFill="1"/>
    <xf numFmtId="3" fontId="2" fillId="5" borderId="1" xfId="0" applyNumberFormat="1" applyFont="1" applyFill="1" applyBorder="1"/>
    <xf numFmtId="0" fontId="11" fillId="7" borderId="2" xfId="0" applyFont="1" applyFill="1" applyBorder="1" applyAlignment="1">
      <alignment horizontal="left" vertical="center" wrapText="1"/>
    </xf>
    <xf numFmtId="0" fontId="3" fillId="7" borderId="2" xfId="0" applyFont="1" applyFill="1" applyBorder="1" applyAlignment="1">
      <alignment horizontal="center" vertical="center"/>
    </xf>
    <xf numFmtId="0" fontId="11" fillId="6" borderId="2" xfId="0" applyFont="1" applyFill="1" applyBorder="1" applyAlignment="1">
      <alignment horizontal="left" vertical="center" wrapText="1"/>
    </xf>
    <xf numFmtId="0" fontId="3" fillId="6" borderId="2" xfId="0" applyFont="1" applyFill="1" applyBorder="1" applyAlignment="1">
      <alignment horizontal="center" vertical="center"/>
    </xf>
    <xf numFmtId="0" fontId="12" fillId="19" borderId="2" xfId="0" applyFont="1" applyFill="1" applyBorder="1" applyAlignment="1">
      <alignment horizontal="center" vertical="center"/>
    </xf>
    <xf numFmtId="0" fontId="13" fillId="20" borderId="2" xfId="0" applyFont="1" applyFill="1" applyBorder="1" applyAlignment="1">
      <alignment horizontal="center" vertical="center"/>
    </xf>
    <xf numFmtId="0" fontId="14" fillId="11" borderId="2" xfId="0" applyFont="1" applyFill="1" applyBorder="1" applyAlignment="1">
      <alignment horizontal="left" vertical="center" wrapText="1"/>
    </xf>
    <xf numFmtId="0" fontId="15" fillId="21" borderId="2" xfId="0" applyFont="1" applyFill="1" applyBorder="1" applyAlignment="1">
      <alignment horizontal="center" vertical="center"/>
    </xf>
    <xf numFmtId="164" fontId="3" fillId="7" borderId="2" xfId="0" applyNumberFormat="1" applyFont="1" applyFill="1" applyBorder="1" applyAlignment="1">
      <alignment horizontal="center" vertical="center"/>
    </xf>
    <xf numFmtId="164" fontId="3" fillId="6" borderId="2" xfId="0" applyNumberFormat="1" applyFont="1" applyFill="1" applyBorder="1" applyAlignment="1">
      <alignment horizontal="center" vertical="center"/>
    </xf>
    <xf numFmtId="0" fontId="5" fillId="6" borderId="2" xfId="0" applyFont="1" applyFill="1" applyBorder="1" applyAlignment="1">
      <alignment horizontal="left" vertical="center" wrapText="1"/>
    </xf>
    <xf numFmtId="3" fontId="3" fillId="6" borderId="2" xfId="0" applyNumberFormat="1" applyFont="1" applyFill="1" applyBorder="1" applyAlignment="1">
      <alignment horizontal="left" vertical="center" wrapText="1"/>
    </xf>
    <xf numFmtId="167" fontId="12" fillId="19" borderId="2" xfId="0" applyNumberFormat="1" applyFont="1" applyFill="1" applyBorder="1" applyAlignment="1">
      <alignment horizontal="left" vertical="center" wrapText="1"/>
    </xf>
    <xf numFmtId="0" fontId="5" fillId="7" borderId="2" xfId="0" applyFont="1" applyFill="1" applyBorder="1" applyAlignment="1">
      <alignment horizontal="left" vertical="center" wrapText="1"/>
    </xf>
    <xf numFmtId="3" fontId="3" fillId="7" borderId="2" xfId="0" applyNumberFormat="1" applyFont="1" applyFill="1" applyBorder="1" applyAlignment="1">
      <alignment horizontal="left" vertical="center" wrapText="1"/>
    </xf>
    <xf numFmtId="167" fontId="16" fillId="12" borderId="2" xfId="0" applyNumberFormat="1" applyFont="1" applyFill="1" applyBorder="1" applyAlignment="1">
      <alignment horizontal="left" vertical="center" wrapText="1"/>
    </xf>
    <xf numFmtId="0" fontId="6" fillId="2" borderId="0" xfId="0" applyFont="1" applyFill="1" applyAlignment="1">
      <alignment horizontal="center" vertical="center"/>
    </xf>
    <xf numFmtId="0" fontId="0" fillId="0" borderId="0" xfId="0"/>
    <xf numFmtId="0" fontId="4" fillId="5" borderId="0" xfId="0" applyFont="1" applyFill="1" applyAlignment="1">
      <alignment horizontal="center" vertical="center"/>
    </xf>
    <xf numFmtId="0" fontId="1" fillId="2" borderId="0" xfId="0" applyFont="1" applyFill="1" applyAlignment="1">
      <alignment horizontal="center" vertical="center"/>
    </xf>
    <xf numFmtId="0" fontId="2" fillId="5" borderId="2" xfId="0" applyFont="1" applyFill="1" applyBorder="1" applyAlignment="1">
      <alignment horizontal="center" vertical="center"/>
    </xf>
    <xf numFmtId="0" fontId="0" fillId="0" borderId="3" xfId="0" applyBorder="1"/>
    <xf numFmtId="0" fontId="0" fillId="0" borderId="4" xfId="0" applyBorder="1"/>
  </cellXfs>
  <cellStyles count="1">
    <cellStyle name="Normal" xfId="0" builtinId="0"/>
  </cellStyles>
  <dxfs count="16">
    <dxf>
      <fill>
        <patternFill patternType="solid">
          <fgColor rgb="FFC6EFCE"/>
        </patternFill>
      </fill>
    </dxf>
    <dxf>
      <fill>
        <patternFill patternType="solid">
          <fgColor rgb="FFFFEB9C"/>
        </patternFill>
      </fill>
    </dxf>
    <dxf>
      <fill>
        <patternFill patternType="solid">
          <fgColor rgb="FFFCE4D6"/>
        </patternFill>
      </fill>
    </dxf>
    <dxf>
      <fill>
        <patternFill patternType="solid">
          <fgColor rgb="FF9C0006"/>
        </patternFill>
      </fill>
    </dxf>
    <dxf>
      <fill>
        <patternFill patternType="solid">
          <fgColor rgb="FFD9D9D9"/>
        </patternFill>
      </fill>
    </dxf>
    <dxf>
      <fill>
        <patternFill patternType="solid">
          <fgColor rgb="FFFCE4D6"/>
        </patternFill>
      </fill>
    </dxf>
    <dxf>
      <fill>
        <patternFill patternType="solid">
          <fgColor rgb="FFFFC7CE"/>
        </patternFill>
      </fill>
    </dxf>
    <dxf>
      <fill>
        <patternFill patternType="solid">
          <fgColor rgb="FFD9EAF7"/>
        </patternFill>
      </fill>
    </dxf>
    <dxf>
      <fill>
        <patternFill patternType="solid">
          <fgColor rgb="FFC6EFCE"/>
        </patternFill>
      </fill>
    </dxf>
    <dxf>
      <fill>
        <patternFill patternType="solid">
          <fgColor rgb="FFC6EFCE"/>
        </patternFill>
      </fill>
    </dxf>
    <dxf>
      <fill>
        <patternFill patternType="solid">
          <fgColor rgb="FFFFEB9C"/>
        </patternFill>
      </fill>
    </dxf>
    <dxf>
      <fill>
        <patternFill patternType="solid">
          <fgColor rgb="FFFCE4D6"/>
        </patternFill>
      </fill>
    </dxf>
    <dxf>
      <fill>
        <patternFill patternType="solid">
          <fgColor rgb="FF9C0006"/>
        </patternFill>
      </fill>
    </dxf>
    <dxf>
      <fill>
        <patternFill patternType="solid">
          <fgColor rgb="FFD9D9D9"/>
        </patternFill>
      </fill>
    </dxf>
    <dxf>
      <fill>
        <patternFill patternType="solid">
          <fgColor rgb="FFD9EAF7"/>
        </patternFill>
      </fill>
    </dxf>
    <dxf>
      <fill>
        <patternFill patternType="solid">
          <f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5"/>
  <sheetViews>
    <sheetView workbookViewId="0">
      <pane ySplit="3" topLeftCell="A4" activePane="bottomLeft" state="frozen"/>
      <selection pane="bottomLeft" activeCell="B8" sqref="B8"/>
    </sheetView>
  </sheetViews>
  <sheetFormatPr defaultRowHeight="14.4" x14ac:dyDescent="0.3"/>
  <cols>
    <col min="1" max="1" width="38" customWidth="1"/>
    <col min="2" max="2" width="24" customWidth="1"/>
    <col min="3" max="4" width="20" customWidth="1"/>
    <col min="5" max="7" width="14" customWidth="1"/>
    <col min="8" max="8" width="18" customWidth="1"/>
    <col min="9" max="9" width="16" customWidth="1"/>
    <col min="10" max="10" width="14" customWidth="1"/>
  </cols>
  <sheetData>
    <row r="1" spans="1:10" ht="30" customHeight="1" x14ac:dyDescent="0.3">
      <c r="A1" s="66" t="s">
        <v>20</v>
      </c>
      <c r="B1" s="64"/>
      <c r="C1" s="64"/>
      <c r="D1" s="64"/>
      <c r="E1" s="64"/>
      <c r="F1" s="64"/>
      <c r="G1" s="64"/>
      <c r="H1" s="64"/>
      <c r="I1" s="64"/>
      <c r="J1" s="64"/>
    </row>
    <row r="2" spans="1:10" ht="22.05" customHeight="1" x14ac:dyDescent="0.3">
      <c r="A2" s="1" t="s">
        <v>21</v>
      </c>
      <c r="B2" s="1" t="s">
        <v>22</v>
      </c>
      <c r="C2" s="1" t="s">
        <v>23</v>
      </c>
      <c r="D2" s="1" t="s">
        <v>24</v>
      </c>
      <c r="E2" s="1" t="s">
        <v>25</v>
      </c>
      <c r="F2" s="1" t="s">
        <v>26</v>
      </c>
      <c r="G2" s="1" t="s">
        <v>27</v>
      </c>
      <c r="H2" s="1" t="s">
        <v>28</v>
      </c>
      <c r="I2" s="1" t="s">
        <v>29</v>
      </c>
      <c r="J2" s="1" t="s">
        <v>30</v>
      </c>
    </row>
    <row r="3" spans="1:10" ht="18" customHeight="1" x14ac:dyDescent="0.3">
      <c r="A3" s="2" t="s">
        <v>31</v>
      </c>
      <c r="B3" s="2" t="s">
        <v>32</v>
      </c>
      <c r="C3" s="2" t="s">
        <v>33</v>
      </c>
      <c r="D3" s="2" t="s">
        <v>34</v>
      </c>
      <c r="E3" s="3">
        <v>45677</v>
      </c>
      <c r="F3" s="3">
        <v>45788</v>
      </c>
      <c r="G3" s="2">
        <v>14</v>
      </c>
      <c r="H3" s="2" t="s">
        <v>35</v>
      </c>
      <c r="I3" s="2" t="s">
        <v>36</v>
      </c>
      <c r="J3" s="2" t="s">
        <v>37</v>
      </c>
    </row>
    <row r="5" spans="1:10" ht="22.05" customHeight="1" x14ac:dyDescent="0.3">
      <c r="A5" s="65" t="s">
        <v>38</v>
      </c>
      <c r="B5" s="64"/>
      <c r="C5" s="64"/>
    </row>
    <row r="6" spans="1:10" ht="18" customHeight="1" x14ac:dyDescent="0.3">
      <c r="A6" s="4" t="s">
        <v>39</v>
      </c>
      <c r="B6" s="5">
        <v>8</v>
      </c>
      <c r="C6" s="6"/>
    </row>
    <row r="7" spans="1:10" ht="18" customHeight="1" x14ac:dyDescent="0.3">
      <c r="A7" s="4" t="s">
        <v>40</v>
      </c>
      <c r="B7" s="5">
        <v>14</v>
      </c>
      <c r="C7" s="6"/>
    </row>
    <row r="8" spans="1:10" ht="18" customHeight="1" x14ac:dyDescent="0.3">
      <c r="A8" s="4" t="s">
        <v>41</v>
      </c>
      <c r="B8" s="5" t="s">
        <v>42</v>
      </c>
      <c r="C8" s="6"/>
    </row>
    <row r="9" spans="1:10" ht="18" customHeight="1" x14ac:dyDescent="0.3">
      <c r="A9" s="4" t="s">
        <v>43</v>
      </c>
      <c r="B9" s="5">
        <v>4</v>
      </c>
      <c r="C9" s="6"/>
    </row>
    <row r="10" spans="1:10" ht="18" customHeight="1" x14ac:dyDescent="0.3">
      <c r="A10" s="4" t="s">
        <v>44</v>
      </c>
      <c r="B10" s="5">
        <v>3</v>
      </c>
      <c r="C10" s="6"/>
    </row>
    <row r="11" spans="1:10" ht="18" customHeight="1" x14ac:dyDescent="0.3">
      <c r="A11" s="4" t="s">
        <v>45</v>
      </c>
      <c r="B11" s="5">
        <v>5</v>
      </c>
      <c r="C11" s="6"/>
    </row>
    <row r="12" spans="1:10" ht="18" customHeight="1" x14ac:dyDescent="0.3">
      <c r="A12" s="4" t="s">
        <v>46</v>
      </c>
      <c r="B12" s="5">
        <v>8</v>
      </c>
      <c r="C12" s="6"/>
    </row>
    <row r="13" spans="1:10" ht="18" customHeight="1" x14ac:dyDescent="0.3">
      <c r="A13" s="4" t="s">
        <v>47</v>
      </c>
      <c r="B13" s="5" t="s">
        <v>48</v>
      </c>
      <c r="C13" s="6"/>
    </row>
    <row r="14" spans="1:10" ht="18" customHeight="1" x14ac:dyDescent="0.3">
      <c r="A14" s="4" t="s">
        <v>49</v>
      </c>
      <c r="B14" s="5" t="s">
        <v>50</v>
      </c>
      <c r="C14" s="6"/>
    </row>
    <row r="15" spans="1:10" ht="18" customHeight="1" x14ac:dyDescent="0.3">
      <c r="A15" s="4" t="s">
        <v>51</v>
      </c>
      <c r="B15" s="5" t="s">
        <v>52</v>
      </c>
      <c r="C15" s="6"/>
    </row>
  </sheetData>
  <mergeCells count="2">
    <mergeCell ref="A5:C5"/>
    <mergeCell ref="A1:J1"/>
  </mergeCells>
  <dataValidations count="1">
    <dataValidation type="list" allowBlank="1" sqref="J3:J15" xr:uid="{00000000-0002-0000-0000-000000000000}">
      <formula1>ProjectStatus</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0"/>
  <sheetViews>
    <sheetView workbookViewId="0">
      <pane ySplit="2" topLeftCell="A3" activePane="bottomLeft" state="frozen"/>
      <selection pane="bottomLeft" activeCell="E4" sqref="E4"/>
    </sheetView>
  </sheetViews>
  <sheetFormatPr defaultRowHeight="14.4" x14ac:dyDescent="0.3"/>
  <cols>
    <col min="1" max="1" width="26" customWidth="1"/>
    <col min="2" max="2" width="34" customWidth="1"/>
    <col min="3" max="3" width="38" customWidth="1"/>
    <col min="4" max="4" width="34" customWidth="1"/>
    <col min="5" max="5" width="14" customWidth="1"/>
    <col min="6" max="6" width="12" customWidth="1"/>
    <col min="7" max="7" width="14" customWidth="1"/>
    <col min="8" max="8" width="60" customWidth="1"/>
  </cols>
  <sheetData>
    <row r="1" spans="1:8" ht="28.05" customHeight="1" x14ac:dyDescent="0.3">
      <c r="A1" s="63" t="s">
        <v>53</v>
      </c>
      <c r="B1" s="64"/>
      <c r="C1" s="64"/>
      <c r="D1" s="64"/>
      <c r="E1" s="64"/>
      <c r="F1" s="64"/>
      <c r="G1" s="64"/>
      <c r="H1" s="64"/>
    </row>
    <row r="2" spans="1:8" ht="22.05" customHeight="1" x14ac:dyDescent="0.3">
      <c r="A2" s="1" t="s">
        <v>54</v>
      </c>
      <c r="B2" s="1" t="s">
        <v>55</v>
      </c>
      <c r="C2" s="1" t="s">
        <v>56</v>
      </c>
      <c r="D2" s="1" t="s">
        <v>57</v>
      </c>
      <c r="E2" s="1" t="s">
        <v>58</v>
      </c>
      <c r="F2" s="1" t="s">
        <v>59</v>
      </c>
      <c r="G2" s="1" t="s">
        <v>60</v>
      </c>
      <c r="H2" s="1" t="s">
        <v>11</v>
      </c>
    </row>
    <row r="3" spans="1:8" ht="40.049999999999997" customHeight="1" x14ac:dyDescent="0.3">
      <c r="A3" s="7" t="s">
        <v>61</v>
      </c>
      <c r="B3" s="7" t="s">
        <v>62</v>
      </c>
      <c r="C3" s="7" t="s">
        <v>63</v>
      </c>
      <c r="D3" s="7" t="s">
        <v>64</v>
      </c>
      <c r="E3" s="8" t="s">
        <v>65</v>
      </c>
      <c r="F3" s="9">
        <v>1</v>
      </c>
      <c r="G3" s="9">
        <v>1</v>
      </c>
      <c r="H3" s="7" t="s">
        <v>66</v>
      </c>
    </row>
    <row r="4" spans="1:8" ht="40.049999999999997" customHeight="1" x14ac:dyDescent="0.3">
      <c r="A4" s="10" t="s">
        <v>67</v>
      </c>
      <c r="B4" s="10" t="s">
        <v>68</v>
      </c>
      <c r="C4" s="10" t="s">
        <v>69</v>
      </c>
      <c r="D4" s="10" t="s">
        <v>70</v>
      </c>
      <c r="E4" s="11" t="s">
        <v>71</v>
      </c>
      <c r="F4" s="12">
        <v>1</v>
      </c>
      <c r="G4" s="12">
        <v>1</v>
      </c>
      <c r="H4" s="10" t="s">
        <v>72</v>
      </c>
    </row>
    <row r="5" spans="1:8" ht="40.049999999999997" customHeight="1" x14ac:dyDescent="0.3">
      <c r="A5" s="7" t="s">
        <v>73</v>
      </c>
      <c r="B5" s="7" t="s">
        <v>74</v>
      </c>
      <c r="C5" s="7" t="s">
        <v>75</v>
      </c>
      <c r="D5" s="7" t="s">
        <v>76</v>
      </c>
      <c r="E5" s="11" t="s">
        <v>71</v>
      </c>
      <c r="F5" s="9">
        <v>1</v>
      </c>
      <c r="G5" s="9">
        <v>0.8</v>
      </c>
      <c r="H5" s="7" t="s">
        <v>77</v>
      </c>
    </row>
    <row r="6" spans="1:8" ht="40.049999999999997" customHeight="1" x14ac:dyDescent="0.3">
      <c r="A6" s="10" t="s">
        <v>78</v>
      </c>
      <c r="B6" s="10" t="s">
        <v>79</v>
      </c>
      <c r="C6" s="10" t="s">
        <v>80</v>
      </c>
      <c r="D6" s="10" t="s">
        <v>81</v>
      </c>
      <c r="E6" s="8" t="s">
        <v>65</v>
      </c>
      <c r="F6" s="12">
        <v>1</v>
      </c>
      <c r="G6" s="12">
        <v>1</v>
      </c>
      <c r="H6" s="10" t="s">
        <v>82</v>
      </c>
    </row>
    <row r="7" spans="1:8" ht="40.049999999999997" customHeight="1" x14ac:dyDescent="0.3">
      <c r="A7" s="7" t="s">
        <v>83</v>
      </c>
      <c r="B7" s="7" t="s">
        <v>84</v>
      </c>
      <c r="C7" s="7" t="s">
        <v>85</v>
      </c>
      <c r="D7" s="7" t="s">
        <v>86</v>
      </c>
      <c r="E7" s="11" t="s">
        <v>71</v>
      </c>
      <c r="F7" s="9">
        <v>1</v>
      </c>
      <c r="G7" s="9">
        <v>1</v>
      </c>
      <c r="H7" s="7" t="s">
        <v>87</v>
      </c>
    </row>
    <row r="8" spans="1:8" ht="40.049999999999997" customHeight="1" x14ac:dyDescent="0.3">
      <c r="A8" s="10" t="s">
        <v>88</v>
      </c>
      <c r="B8" s="10" t="s">
        <v>89</v>
      </c>
      <c r="C8" s="10" t="s">
        <v>90</v>
      </c>
      <c r="D8" s="10" t="s">
        <v>91</v>
      </c>
      <c r="E8" s="11" t="s">
        <v>71</v>
      </c>
      <c r="F8" s="12">
        <v>0.8</v>
      </c>
      <c r="G8" s="12">
        <v>0.8</v>
      </c>
      <c r="H8" s="10" t="s">
        <v>92</v>
      </c>
    </row>
    <row r="9" spans="1:8" ht="40.049999999999997" customHeight="1" x14ac:dyDescent="0.3">
      <c r="A9" s="7" t="s">
        <v>93</v>
      </c>
      <c r="B9" s="7" t="s">
        <v>94</v>
      </c>
      <c r="C9" s="7" t="s">
        <v>95</v>
      </c>
      <c r="D9" s="7" t="s">
        <v>96</v>
      </c>
      <c r="E9" s="8" t="s">
        <v>65</v>
      </c>
      <c r="F9" s="9">
        <v>1</v>
      </c>
      <c r="G9" s="9">
        <v>1</v>
      </c>
      <c r="H9" s="7" t="s">
        <v>97</v>
      </c>
    </row>
    <row r="10" spans="1:8" ht="40.049999999999997" customHeight="1" x14ac:dyDescent="0.3">
      <c r="A10" s="10" t="s">
        <v>98</v>
      </c>
      <c r="B10" s="10" t="s">
        <v>99</v>
      </c>
      <c r="C10" s="10" t="s">
        <v>100</v>
      </c>
      <c r="D10" s="10" t="s">
        <v>101</v>
      </c>
      <c r="E10" s="13" t="s">
        <v>102</v>
      </c>
      <c r="F10" s="12">
        <v>1</v>
      </c>
      <c r="G10" s="12">
        <v>1</v>
      </c>
      <c r="H10" s="10" t="s">
        <v>103</v>
      </c>
    </row>
  </sheetData>
  <mergeCells count="1">
    <mergeCell ref="A1:H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5"/>
  <sheetViews>
    <sheetView workbookViewId="0">
      <pane ySplit="2" topLeftCell="A3" activePane="bottomLeft" state="frozen"/>
      <selection pane="bottomLeft" activeCell="F8" sqref="F8"/>
    </sheetView>
  </sheetViews>
  <sheetFormatPr defaultRowHeight="14.4" x14ac:dyDescent="0.3"/>
  <cols>
    <col min="1" max="1" width="23" customWidth="1"/>
    <col min="2" max="3" width="13" customWidth="1"/>
    <col min="4" max="4" width="10" customWidth="1"/>
    <col min="5" max="5" width="62" customWidth="1"/>
    <col min="6" max="6" width="14" customWidth="1"/>
    <col min="7" max="7" width="12" customWidth="1"/>
    <col min="8" max="8" width="14" customWidth="1"/>
  </cols>
  <sheetData>
    <row r="1" spans="1:8" ht="28.05" customHeight="1" x14ac:dyDescent="0.3">
      <c r="A1" s="63" t="s">
        <v>104</v>
      </c>
      <c r="B1" s="64"/>
      <c r="C1" s="64"/>
      <c r="D1" s="64"/>
      <c r="E1" s="64"/>
      <c r="F1" s="64"/>
      <c r="G1" s="64"/>
      <c r="H1" s="64"/>
    </row>
    <row r="2" spans="1:8" ht="22.05" customHeight="1" x14ac:dyDescent="0.3">
      <c r="A2" s="1" t="s">
        <v>105</v>
      </c>
      <c r="B2" s="1" t="s">
        <v>25</v>
      </c>
      <c r="C2" s="1" t="s">
        <v>106</v>
      </c>
      <c r="D2" s="1" t="s">
        <v>107</v>
      </c>
      <c r="E2" s="1" t="s">
        <v>108</v>
      </c>
      <c r="F2" s="1" t="s">
        <v>30</v>
      </c>
      <c r="G2" s="1" t="s">
        <v>109</v>
      </c>
      <c r="H2" s="1" t="s">
        <v>110</v>
      </c>
    </row>
    <row r="3" spans="1:8" ht="49.95" customHeight="1" x14ac:dyDescent="0.3">
      <c r="A3" s="14" t="s">
        <v>12</v>
      </c>
      <c r="B3" s="15">
        <v>45677</v>
      </c>
      <c r="C3" s="15">
        <v>45690</v>
      </c>
      <c r="D3" s="16">
        <v>14</v>
      </c>
      <c r="E3" s="16" t="s">
        <v>111</v>
      </c>
      <c r="F3" s="17" t="s">
        <v>112</v>
      </c>
      <c r="G3" s="18">
        <v>340</v>
      </c>
      <c r="H3" s="19">
        <v>1</v>
      </c>
    </row>
    <row r="4" spans="1:8" ht="49.95" customHeight="1" x14ac:dyDescent="0.3">
      <c r="A4" s="14" t="s">
        <v>14</v>
      </c>
      <c r="B4" s="15">
        <v>45691</v>
      </c>
      <c r="C4" s="15">
        <v>45704</v>
      </c>
      <c r="D4" s="16">
        <v>14</v>
      </c>
      <c r="E4" s="16" t="s">
        <v>113</v>
      </c>
      <c r="F4" s="17" t="s">
        <v>112</v>
      </c>
      <c r="G4" s="18">
        <v>335</v>
      </c>
      <c r="H4" s="19">
        <v>1</v>
      </c>
    </row>
    <row r="5" spans="1:8" ht="49.95" customHeight="1" x14ac:dyDescent="0.3">
      <c r="A5" s="14" t="s">
        <v>16</v>
      </c>
      <c r="B5" s="15">
        <v>45705</v>
      </c>
      <c r="C5" s="15">
        <v>45718</v>
      </c>
      <c r="D5" s="16">
        <v>14</v>
      </c>
      <c r="E5" s="16" t="s">
        <v>114</v>
      </c>
      <c r="F5" s="17" t="s">
        <v>112</v>
      </c>
      <c r="G5" s="18">
        <v>410</v>
      </c>
      <c r="H5" s="19">
        <v>4</v>
      </c>
    </row>
    <row r="6" spans="1:8" ht="49.95" customHeight="1" x14ac:dyDescent="0.3">
      <c r="A6" s="20" t="s">
        <v>18</v>
      </c>
      <c r="B6" s="21">
        <v>45719</v>
      </c>
      <c r="C6" s="21">
        <v>45732</v>
      </c>
      <c r="D6" s="22">
        <v>14</v>
      </c>
      <c r="E6" s="22" t="s">
        <v>115</v>
      </c>
      <c r="F6" s="23" t="s">
        <v>116</v>
      </c>
      <c r="G6" s="24">
        <v>395</v>
      </c>
      <c r="H6" s="19">
        <v>3</v>
      </c>
    </row>
    <row r="7" spans="1:8" ht="49.95" customHeight="1" x14ac:dyDescent="0.3">
      <c r="A7" s="25" t="s">
        <v>117</v>
      </c>
      <c r="B7" s="26">
        <v>45733</v>
      </c>
      <c r="C7" s="26">
        <v>45746</v>
      </c>
      <c r="D7" s="27">
        <v>14</v>
      </c>
      <c r="E7" s="27" t="s">
        <v>118</v>
      </c>
      <c r="F7" s="28" t="s">
        <v>119</v>
      </c>
      <c r="G7" s="29" t="s">
        <v>120</v>
      </c>
      <c r="H7" s="30">
        <v>0</v>
      </c>
    </row>
    <row r="8" spans="1:8" ht="49.95" customHeight="1" x14ac:dyDescent="0.3">
      <c r="A8" s="25" t="s">
        <v>121</v>
      </c>
      <c r="B8" s="26">
        <v>45747</v>
      </c>
      <c r="C8" s="26">
        <v>45760</v>
      </c>
      <c r="D8" s="27">
        <v>14</v>
      </c>
      <c r="E8" s="27" t="s">
        <v>122</v>
      </c>
      <c r="F8" s="28" t="s">
        <v>119</v>
      </c>
      <c r="G8" s="29" t="s">
        <v>120</v>
      </c>
      <c r="H8" s="30">
        <v>0</v>
      </c>
    </row>
    <row r="9" spans="1:8" ht="49.95" customHeight="1" x14ac:dyDescent="0.3">
      <c r="A9" s="25" t="s">
        <v>123</v>
      </c>
      <c r="B9" s="26">
        <v>45761</v>
      </c>
      <c r="C9" s="26">
        <v>45774</v>
      </c>
      <c r="D9" s="27">
        <v>14</v>
      </c>
      <c r="E9" s="27" t="s">
        <v>124</v>
      </c>
      <c r="F9" s="28" t="s">
        <v>119</v>
      </c>
      <c r="G9" s="29" t="s">
        <v>120</v>
      </c>
      <c r="H9" s="30">
        <v>0</v>
      </c>
    </row>
    <row r="10" spans="1:8" ht="49.95" customHeight="1" x14ac:dyDescent="0.3">
      <c r="A10" s="25" t="s">
        <v>125</v>
      </c>
      <c r="B10" s="26">
        <v>45775</v>
      </c>
      <c r="C10" s="26">
        <v>45788</v>
      </c>
      <c r="D10" s="27">
        <v>14</v>
      </c>
      <c r="E10" s="27" t="s">
        <v>126</v>
      </c>
      <c r="F10" s="28" t="s">
        <v>119</v>
      </c>
      <c r="G10" s="29" t="s">
        <v>120</v>
      </c>
      <c r="H10" s="30">
        <v>0</v>
      </c>
    </row>
    <row r="12" spans="1:8" x14ac:dyDescent="0.3">
      <c r="A12" s="67" t="s">
        <v>127</v>
      </c>
      <c r="B12" s="68"/>
      <c r="C12" s="68"/>
      <c r="D12" s="69"/>
    </row>
    <row r="13" spans="1:8" x14ac:dyDescent="0.3">
      <c r="A13" s="31" t="s">
        <v>128</v>
      </c>
      <c r="B13" s="32">
        <f>AVERAGE(G3:G6)</f>
        <v>370</v>
      </c>
      <c r="C13" s="31"/>
      <c r="D13" s="31"/>
    </row>
    <row r="14" spans="1:8" x14ac:dyDescent="0.3">
      <c r="A14" s="31" t="s">
        <v>129</v>
      </c>
      <c r="B14" s="33">
        <f>STDEV(G3:G6)</f>
        <v>38.078865529319543</v>
      </c>
      <c r="C14" s="31"/>
      <c r="D14" s="31"/>
    </row>
    <row r="15" spans="1:8" x14ac:dyDescent="0.3">
      <c r="A15" s="31" t="s">
        <v>130</v>
      </c>
      <c r="B15" s="34">
        <f>IFERROR(B14/B13,0)</f>
        <v>0.10291585278194471</v>
      </c>
      <c r="C15" s="31"/>
      <c r="D15" s="31"/>
    </row>
  </sheetData>
  <mergeCells count="2">
    <mergeCell ref="A12:D12"/>
    <mergeCell ref="A1:H1"/>
  </mergeCells>
  <conditionalFormatting sqref="F3:F15">
    <cfRule type="expression" dxfId="15" priority="1">
      <formula>F3="Completed"</formula>
    </cfRule>
    <cfRule type="expression" dxfId="14" priority="2">
      <formula>F3="In Progress"</formula>
    </cfRule>
    <cfRule type="expression" dxfId="13" priority="3">
      <formula>F3="Not Started"</formula>
    </cfRule>
  </conditionalFormatting>
  <dataValidations count="1">
    <dataValidation type="list" allowBlank="1" sqref="F3:F15" xr:uid="{00000000-0002-0000-0200-000000000000}">
      <formula1>SprintStatus</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69"/>
  <sheetViews>
    <sheetView zoomScale="85" workbookViewId="0">
      <pane xSplit="2" ySplit="2" topLeftCell="C3" activePane="bottomRight" state="frozen"/>
      <selection pane="topRight"/>
      <selection pane="bottomLeft"/>
      <selection pane="bottomRight" activeCell="O3" sqref="O3"/>
    </sheetView>
  </sheetViews>
  <sheetFormatPr defaultRowHeight="14.4" x14ac:dyDescent="0.3"/>
  <cols>
    <col min="1" max="1" width="8" customWidth="1"/>
    <col min="2" max="2" width="48" customWidth="1"/>
    <col min="3" max="5" width="9" customWidth="1"/>
    <col min="6" max="6" width="22" customWidth="1"/>
    <col min="7" max="7" width="36" customWidth="1"/>
    <col min="8" max="8" width="8" customWidth="1"/>
    <col min="9" max="11" width="10" customWidth="1"/>
    <col min="12" max="12" width="12" customWidth="1"/>
    <col min="13" max="13" width="9" customWidth="1"/>
    <col min="14" max="14" width="12" customWidth="1"/>
    <col min="15" max="15" width="11" customWidth="1"/>
    <col min="16" max="16" width="52" customWidth="1"/>
  </cols>
  <sheetData>
    <row r="1" spans="1:16" ht="28.05" customHeight="1" x14ac:dyDescent="0.3">
      <c r="A1" s="63" t="s">
        <v>131</v>
      </c>
      <c r="B1" s="64"/>
      <c r="C1" s="64"/>
      <c r="D1" s="64"/>
      <c r="E1" s="64"/>
      <c r="F1" s="64"/>
      <c r="G1" s="64"/>
      <c r="H1" s="64"/>
      <c r="I1" s="64"/>
      <c r="J1" s="64"/>
      <c r="K1" s="64"/>
      <c r="L1" s="64"/>
      <c r="M1" s="64"/>
      <c r="N1" s="64"/>
      <c r="O1" s="64"/>
    </row>
    <row r="2" spans="1:16" ht="48.6" customHeight="1" x14ac:dyDescent="0.3">
      <c r="A2" s="1" t="s">
        <v>132</v>
      </c>
      <c r="B2" s="1" t="s">
        <v>133</v>
      </c>
      <c r="C2" s="1" t="s">
        <v>134</v>
      </c>
      <c r="D2" s="1" t="s">
        <v>1</v>
      </c>
      <c r="E2" s="1" t="s">
        <v>135</v>
      </c>
      <c r="F2" s="1" t="s">
        <v>136</v>
      </c>
      <c r="G2" s="1" t="s">
        <v>137</v>
      </c>
      <c r="H2" s="1" t="s">
        <v>138</v>
      </c>
      <c r="I2" s="1" t="s">
        <v>139</v>
      </c>
      <c r="J2" s="1" t="s">
        <v>140</v>
      </c>
      <c r="K2" s="1" t="s">
        <v>141</v>
      </c>
      <c r="L2" s="1" t="s">
        <v>142</v>
      </c>
      <c r="M2" s="1" t="s">
        <v>143</v>
      </c>
      <c r="N2" s="1" t="s">
        <v>30</v>
      </c>
      <c r="O2" s="1" t="s">
        <v>144</v>
      </c>
      <c r="P2" s="1" t="s">
        <v>145</v>
      </c>
    </row>
    <row r="3" spans="1:16" ht="22.05" customHeight="1" x14ac:dyDescent="0.3">
      <c r="A3" s="35" t="s">
        <v>146</v>
      </c>
      <c r="B3" s="7" t="s">
        <v>147</v>
      </c>
      <c r="C3" s="7" t="s">
        <v>148</v>
      </c>
      <c r="D3" s="7" t="s">
        <v>12</v>
      </c>
      <c r="E3" s="7" t="s">
        <v>12</v>
      </c>
      <c r="F3" s="7" t="s">
        <v>61</v>
      </c>
      <c r="G3" s="7" t="s">
        <v>63</v>
      </c>
      <c r="H3" s="36" t="s">
        <v>149</v>
      </c>
      <c r="I3" s="7">
        <v>40</v>
      </c>
      <c r="J3" s="7">
        <v>48</v>
      </c>
      <c r="K3" s="7">
        <v>50</v>
      </c>
      <c r="L3" s="7">
        <f t="shared" ref="L3:L34" si="0">MAX(0,J3-K3)</f>
        <v>0</v>
      </c>
      <c r="M3" s="37">
        <f t="shared" ref="M3:M34" si="1">IF(J3=0,0,MIN(1,(J3-L3)/J3))</f>
        <v>1</v>
      </c>
      <c r="N3" s="17" t="s">
        <v>112</v>
      </c>
      <c r="O3" s="38" t="s">
        <v>150</v>
      </c>
      <c r="P3" s="7" t="s">
        <v>151</v>
      </c>
    </row>
    <row r="4" spans="1:16" ht="22.05" customHeight="1" x14ac:dyDescent="0.3">
      <c r="A4" s="39" t="s">
        <v>152</v>
      </c>
      <c r="B4" s="10" t="s">
        <v>153</v>
      </c>
      <c r="C4" s="10" t="s">
        <v>154</v>
      </c>
      <c r="D4" s="10" t="s">
        <v>12</v>
      </c>
      <c r="E4" s="10" t="s">
        <v>12</v>
      </c>
      <c r="F4" s="10" t="s">
        <v>78</v>
      </c>
      <c r="G4" s="10" t="s">
        <v>80</v>
      </c>
      <c r="H4" s="36" t="s">
        <v>149</v>
      </c>
      <c r="I4" s="10">
        <v>16</v>
      </c>
      <c r="J4" s="10">
        <v>16</v>
      </c>
      <c r="K4" s="10">
        <v>17</v>
      </c>
      <c r="L4" s="7">
        <f t="shared" si="0"/>
        <v>0</v>
      </c>
      <c r="M4" s="37">
        <f t="shared" si="1"/>
        <v>1</v>
      </c>
      <c r="N4" s="17" t="s">
        <v>112</v>
      </c>
      <c r="O4" s="10" t="s">
        <v>155</v>
      </c>
      <c r="P4" s="10"/>
    </row>
    <row r="5" spans="1:16" ht="22.05" customHeight="1" x14ac:dyDescent="0.3">
      <c r="A5" s="35" t="s">
        <v>156</v>
      </c>
      <c r="B5" s="7" t="s">
        <v>157</v>
      </c>
      <c r="C5" s="7" t="s">
        <v>158</v>
      </c>
      <c r="D5" s="7" t="s">
        <v>12</v>
      </c>
      <c r="E5" s="7" t="s">
        <v>12</v>
      </c>
      <c r="F5" s="7" t="s">
        <v>67</v>
      </c>
      <c r="G5" s="7" t="s">
        <v>69</v>
      </c>
      <c r="H5" s="36" t="s">
        <v>149</v>
      </c>
      <c r="I5" s="7">
        <v>24</v>
      </c>
      <c r="J5" s="7">
        <v>28</v>
      </c>
      <c r="K5" s="7">
        <v>30</v>
      </c>
      <c r="L5" s="7">
        <f t="shared" si="0"/>
        <v>0</v>
      </c>
      <c r="M5" s="37">
        <f t="shared" si="1"/>
        <v>1</v>
      </c>
      <c r="N5" s="17" t="s">
        <v>112</v>
      </c>
      <c r="O5" s="7" t="s">
        <v>155</v>
      </c>
      <c r="P5" s="7"/>
    </row>
    <row r="6" spans="1:16" ht="22.05" customHeight="1" x14ac:dyDescent="0.3">
      <c r="A6" s="39" t="s">
        <v>159</v>
      </c>
      <c r="B6" s="10" t="s">
        <v>160</v>
      </c>
      <c r="C6" s="10" t="s">
        <v>148</v>
      </c>
      <c r="D6" s="10" t="s">
        <v>12</v>
      </c>
      <c r="E6" s="10" t="s">
        <v>12</v>
      </c>
      <c r="F6" s="10" t="s">
        <v>61</v>
      </c>
      <c r="G6" s="10" t="s">
        <v>64</v>
      </c>
      <c r="H6" s="36" t="s">
        <v>149</v>
      </c>
      <c r="I6" s="10">
        <v>32</v>
      </c>
      <c r="J6" s="10">
        <v>36</v>
      </c>
      <c r="K6" s="10">
        <v>38</v>
      </c>
      <c r="L6" s="7">
        <f t="shared" si="0"/>
        <v>0</v>
      </c>
      <c r="M6" s="37">
        <f t="shared" si="1"/>
        <v>1</v>
      </c>
      <c r="N6" s="17" t="s">
        <v>112</v>
      </c>
      <c r="O6" s="38" t="s">
        <v>150</v>
      </c>
      <c r="P6" s="10" t="s">
        <v>161</v>
      </c>
    </row>
    <row r="7" spans="1:16" ht="22.05" customHeight="1" x14ac:dyDescent="0.3">
      <c r="A7" s="35" t="s">
        <v>162</v>
      </c>
      <c r="B7" s="7" t="s">
        <v>163</v>
      </c>
      <c r="C7" s="7" t="s">
        <v>154</v>
      </c>
      <c r="D7" s="7" t="s">
        <v>12</v>
      </c>
      <c r="E7" s="7" t="s">
        <v>12</v>
      </c>
      <c r="F7" s="7" t="s">
        <v>83</v>
      </c>
      <c r="G7" s="7" t="s">
        <v>85</v>
      </c>
      <c r="H7" s="41" t="s">
        <v>164</v>
      </c>
      <c r="I7" s="7">
        <v>12</v>
      </c>
      <c r="J7" s="7">
        <v>12</v>
      </c>
      <c r="K7" s="7">
        <v>14</v>
      </c>
      <c r="L7" s="7">
        <f t="shared" si="0"/>
        <v>0</v>
      </c>
      <c r="M7" s="37">
        <f t="shared" si="1"/>
        <v>1</v>
      </c>
      <c r="N7" s="17" t="s">
        <v>112</v>
      </c>
      <c r="O7" s="7" t="s">
        <v>155</v>
      </c>
      <c r="P7" s="7"/>
    </row>
    <row r="8" spans="1:16" ht="22.05" customHeight="1" x14ac:dyDescent="0.3">
      <c r="A8" s="39" t="s">
        <v>165</v>
      </c>
      <c r="B8" s="10" t="s">
        <v>166</v>
      </c>
      <c r="C8" s="10" t="s">
        <v>158</v>
      </c>
      <c r="D8" s="10" t="s">
        <v>12</v>
      </c>
      <c r="E8" s="10" t="s">
        <v>12</v>
      </c>
      <c r="F8" s="10" t="s">
        <v>61</v>
      </c>
      <c r="G8" s="10" t="s">
        <v>63</v>
      </c>
      <c r="H8" s="36" t="s">
        <v>149</v>
      </c>
      <c r="I8" s="10">
        <v>20</v>
      </c>
      <c r="J8" s="10">
        <v>24</v>
      </c>
      <c r="K8" s="10">
        <v>26</v>
      </c>
      <c r="L8" s="7">
        <f t="shared" si="0"/>
        <v>0</v>
      </c>
      <c r="M8" s="37">
        <f t="shared" si="1"/>
        <v>1</v>
      </c>
      <c r="N8" s="17" t="s">
        <v>112</v>
      </c>
      <c r="O8" s="38" t="s">
        <v>150</v>
      </c>
      <c r="P8" s="10" t="s">
        <v>167</v>
      </c>
    </row>
    <row r="9" spans="1:16" ht="22.05" customHeight="1" x14ac:dyDescent="0.3">
      <c r="A9" s="35" t="s">
        <v>168</v>
      </c>
      <c r="B9" s="7" t="s">
        <v>169</v>
      </c>
      <c r="C9" s="7" t="s">
        <v>170</v>
      </c>
      <c r="D9" s="7" t="s">
        <v>12</v>
      </c>
      <c r="E9" s="7" t="s">
        <v>12</v>
      </c>
      <c r="F9" s="7" t="s">
        <v>78</v>
      </c>
      <c r="G9" s="7" t="s">
        <v>80</v>
      </c>
      <c r="H9" s="36" t="s">
        <v>149</v>
      </c>
      <c r="I9" s="7">
        <v>16</v>
      </c>
      <c r="J9" s="7">
        <v>16</v>
      </c>
      <c r="K9" s="7">
        <v>18</v>
      </c>
      <c r="L9" s="7">
        <f t="shared" si="0"/>
        <v>0</v>
      </c>
      <c r="M9" s="37">
        <f t="shared" si="1"/>
        <v>1</v>
      </c>
      <c r="N9" s="17" t="s">
        <v>112</v>
      </c>
      <c r="O9" s="7" t="s">
        <v>155</v>
      </c>
      <c r="P9" s="7"/>
    </row>
    <row r="10" spans="1:16" ht="22.05" customHeight="1" x14ac:dyDescent="0.3">
      <c r="A10" s="39" t="s">
        <v>171</v>
      </c>
      <c r="B10" s="10" t="s">
        <v>172</v>
      </c>
      <c r="C10" s="10" t="s">
        <v>158</v>
      </c>
      <c r="D10" s="10" t="s">
        <v>12</v>
      </c>
      <c r="E10" s="10" t="s">
        <v>12</v>
      </c>
      <c r="F10" s="10" t="s">
        <v>67</v>
      </c>
      <c r="G10" s="10" t="s">
        <v>70</v>
      </c>
      <c r="H10" s="41" t="s">
        <v>164</v>
      </c>
      <c r="I10" s="10">
        <v>16</v>
      </c>
      <c r="J10" s="10">
        <v>20</v>
      </c>
      <c r="K10" s="10">
        <v>22</v>
      </c>
      <c r="L10" s="7">
        <f t="shared" si="0"/>
        <v>0</v>
      </c>
      <c r="M10" s="37">
        <f t="shared" si="1"/>
        <v>1</v>
      </c>
      <c r="N10" s="17" t="s">
        <v>112</v>
      </c>
      <c r="O10" s="10" t="s">
        <v>155</v>
      </c>
      <c r="P10" s="10"/>
    </row>
    <row r="11" spans="1:16" ht="22.05" customHeight="1" x14ac:dyDescent="0.3">
      <c r="A11" s="35" t="s">
        <v>173</v>
      </c>
      <c r="B11" s="7" t="s">
        <v>174</v>
      </c>
      <c r="C11" s="7" t="s">
        <v>154</v>
      </c>
      <c r="D11" s="7" t="s">
        <v>12</v>
      </c>
      <c r="E11" s="7" t="s">
        <v>12</v>
      </c>
      <c r="F11" s="7" t="s">
        <v>88</v>
      </c>
      <c r="G11" s="7" t="s">
        <v>90</v>
      </c>
      <c r="H11" s="41" t="s">
        <v>164</v>
      </c>
      <c r="I11" s="7">
        <v>12</v>
      </c>
      <c r="J11" s="7">
        <v>12</v>
      </c>
      <c r="K11" s="7">
        <v>13</v>
      </c>
      <c r="L11" s="7">
        <f t="shared" si="0"/>
        <v>0</v>
      </c>
      <c r="M11" s="37">
        <f t="shared" si="1"/>
        <v>1</v>
      </c>
      <c r="N11" s="17" t="s">
        <v>112</v>
      </c>
      <c r="O11" s="7" t="s">
        <v>155</v>
      </c>
      <c r="P11" s="7" t="s">
        <v>175</v>
      </c>
    </row>
    <row r="12" spans="1:16" ht="22.05" customHeight="1" x14ac:dyDescent="0.3">
      <c r="A12" s="39" t="s">
        <v>176</v>
      </c>
      <c r="B12" s="10" t="s">
        <v>177</v>
      </c>
      <c r="C12" s="10" t="s">
        <v>154</v>
      </c>
      <c r="D12" s="10" t="s">
        <v>12</v>
      </c>
      <c r="E12" s="10" t="s">
        <v>12</v>
      </c>
      <c r="F12" s="10" t="s">
        <v>93</v>
      </c>
      <c r="G12" s="10" t="s">
        <v>95</v>
      </c>
      <c r="H12" s="42" t="s">
        <v>178</v>
      </c>
      <c r="I12" s="10">
        <v>8</v>
      </c>
      <c r="J12" s="10">
        <v>8</v>
      </c>
      <c r="K12" s="10">
        <v>9</v>
      </c>
      <c r="L12" s="7">
        <f t="shared" si="0"/>
        <v>0</v>
      </c>
      <c r="M12" s="37">
        <f t="shared" si="1"/>
        <v>1</v>
      </c>
      <c r="N12" s="17" t="s">
        <v>112</v>
      </c>
      <c r="O12" s="10" t="s">
        <v>155</v>
      </c>
      <c r="P12" s="10"/>
    </row>
    <row r="13" spans="1:16" ht="22.05" customHeight="1" x14ac:dyDescent="0.3">
      <c r="A13" s="35" t="s">
        <v>179</v>
      </c>
      <c r="B13" s="7" t="s">
        <v>180</v>
      </c>
      <c r="C13" s="7" t="s">
        <v>148</v>
      </c>
      <c r="D13" s="7" t="s">
        <v>14</v>
      </c>
      <c r="E13" s="7" t="s">
        <v>14</v>
      </c>
      <c r="F13" s="7" t="s">
        <v>67</v>
      </c>
      <c r="G13" s="7" t="s">
        <v>69</v>
      </c>
      <c r="H13" s="36" t="s">
        <v>149</v>
      </c>
      <c r="I13" s="7">
        <v>40</v>
      </c>
      <c r="J13" s="7">
        <v>48</v>
      </c>
      <c r="K13" s="7">
        <v>52</v>
      </c>
      <c r="L13" s="7">
        <f t="shared" si="0"/>
        <v>0</v>
      </c>
      <c r="M13" s="37">
        <f t="shared" si="1"/>
        <v>1</v>
      </c>
      <c r="N13" s="17" t="s">
        <v>112</v>
      </c>
      <c r="O13" s="38" t="s">
        <v>150</v>
      </c>
      <c r="P13" s="7" t="s">
        <v>181</v>
      </c>
    </row>
    <row r="14" spans="1:16" ht="22.05" customHeight="1" x14ac:dyDescent="0.3">
      <c r="A14" s="39" t="s">
        <v>182</v>
      </c>
      <c r="B14" s="10" t="s">
        <v>183</v>
      </c>
      <c r="C14" s="10" t="s">
        <v>148</v>
      </c>
      <c r="D14" s="10" t="s">
        <v>14</v>
      </c>
      <c r="E14" s="10" t="s">
        <v>14</v>
      </c>
      <c r="F14" s="10" t="s">
        <v>67</v>
      </c>
      <c r="G14" s="10" t="s">
        <v>69</v>
      </c>
      <c r="H14" s="36" t="s">
        <v>149</v>
      </c>
      <c r="I14" s="10">
        <v>32</v>
      </c>
      <c r="J14" s="10">
        <v>38</v>
      </c>
      <c r="K14" s="10">
        <v>40</v>
      </c>
      <c r="L14" s="7">
        <f t="shared" si="0"/>
        <v>0</v>
      </c>
      <c r="M14" s="37">
        <f t="shared" si="1"/>
        <v>1</v>
      </c>
      <c r="N14" s="17" t="s">
        <v>112</v>
      </c>
      <c r="O14" s="38" t="s">
        <v>150</v>
      </c>
      <c r="P14" s="10" t="s">
        <v>184</v>
      </c>
    </row>
    <row r="15" spans="1:16" ht="22.05" customHeight="1" x14ac:dyDescent="0.3">
      <c r="A15" s="35" t="s">
        <v>185</v>
      </c>
      <c r="B15" s="7" t="s">
        <v>186</v>
      </c>
      <c r="C15" s="7" t="s">
        <v>158</v>
      </c>
      <c r="D15" s="7" t="s">
        <v>14</v>
      </c>
      <c r="E15" s="7" t="s">
        <v>14</v>
      </c>
      <c r="F15" s="7" t="s">
        <v>78</v>
      </c>
      <c r="G15" s="7" t="s">
        <v>81</v>
      </c>
      <c r="H15" s="36" t="s">
        <v>149</v>
      </c>
      <c r="I15" s="7">
        <v>24</v>
      </c>
      <c r="J15" s="7">
        <v>24</v>
      </c>
      <c r="K15" s="7">
        <v>26</v>
      </c>
      <c r="L15" s="7">
        <f t="shared" si="0"/>
        <v>0</v>
      </c>
      <c r="M15" s="37">
        <f t="shared" si="1"/>
        <v>1</v>
      </c>
      <c r="N15" s="17" t="s">
        <v>112</v>
      </c>
      <c r="O15" s="7" t="s">
        <v>155</v>
      </c>
      <c r="P15" s="7"/>
    </row>
    <row r="16" spans="1:16" ht="22.05" customHeight="1" x14ac:dyDescent="0.3">
      <c r="A16" s="39" t="s">
        <v>187</v>
      </c>
      <c r="B16" s="10" t="s">
        <v>188</v>
      </c>
      <c r="C16" s="10" t="s">
        <v>158</v>
      </c>
      <c r="D16" s="10" t="s">
        <v>14</v>
      </c>
      <c r="E16" s="10" t="s">
        <v>14</v>
      </c>
      <c r="F16" s="10" t="s">
        <v>78</v>
      </c>
      <c r="G16" s="10" t="s">
        <v>80</v>
      </c>
      <c r="H16" s="36" t="s">
        <v>149</v>
      </c>
      <c r="I16" s="10">
        <v>20</v>
      </c>
      <c r="J16" s="10">
        <v>26</v>
      </c>
      <c r="K16" s="10">
        <v>28</v>
      </c>
      <c r="L16" s="7">
        <f t="shared" si="0"/>
        <v>0</v>
      </c>
      <c r="M16" s="37">
        <f t="shared" si="1"/>
        <v>1</v>
      </c>
      <c r="N16" s="17" t="s">
        <v>112</v>
      </c>
      <c r="O16" s="38" t="s">
        <v>150</v>
      </c>
      <c r="P16" s="10" t="s">
        <v>189</v>
      </c>
    </row>
    <row r="17" spans="1:16" ht="22.05" customHeight="1" x14ac:dyDescent="0.3">
      <c r="A17" s="35" t="s">
        <v>190</v>
      </c>
      <c r="B17" s="7" t="s">
        <v>191</v>
      </c>
      <c r="C17" s="7" t="s">
        <v>154</v>
      </c>
      <c r="D17" s="7" t="s">
        <v>14</v>
      </c>
      <c r="E17" s="7" t="s">
        <v>14</v>
      </c>
      <c r="F17" s="7" t="s">
        <v>83</v>
      </c>
      <c r="G17" s="7" t="s">
        <v>85</v>
      </c>
      <c r="H17" s="41" t="s">
        <v>164</v>
      </c>
      <c r="I17" s="7">
        <v>20</v>
      </c>
      <c r="J17" s="7">
        <v>20</v>
      </c>
      <c r="K17" s="7">
        <v>22</v>
      </c>
      <c r="L17" s="7">
        <f t="shared" si="0"/>
        <v>0</v>
      </c>
      <c r="M17" s="37">
        <f t="shared" si="1"/>
        <v>1</v>
      </c>
      <c r="N17" s="17" t="s">
        <v>112</v>
      </c>
      <c r="O17" s="7" t="s">
        <v>155</v>
      </c>
      <c r="P17" s="7"/>
    </row>
    <row r="18" spans="1:16" ht="22.05" customHeight="1" x14ac:dyDescent="0.3">
      <c r="A18" s="39" t="s">
        <v>192</v>
      </c>
      <c r="B18" s="10" t="s">
        <v>193</v>
      </c>
      <c r="C18" s="10" t="s">
        <v>170</v>
      </c>
      <c r="D18" s="10" t="s">
        <v>14</v>
      </c>
      <c r="E18" s="10" t="s">
        <v>14</v>
      </c>
      <c r="F18" s="10" t="s">
        <v>78</v>
      </c>
      <c r="G18" s="10" t="s">
        <v>80</v>
      </c>
      <c r="H18" s="41" t="s">
        <v>164</v>
      </c>
      <c r="I18" s="10">
        <v>12</v>
      </c>
      <c r="J18" s="10">
        <v>12</v>
      </c>
      <c r="K18" s="10">
        <v>13</v>
      </c>
      <c r="L18" s="7">
        <f t="shared" si="0"/>
        <v>0</v>
      </c>
      <c r="M18" s="37">
        <f t="shared" si="1"/>
        <v>1</v>
      </c>
      <c r="N18" s="17" t="s">
        <v>112</v>
      </c>
      <c r="O18" s="10" t="s">
        <v>155</v>
      </c>
      <c r="P18" s="10"/>
    </row>
    <row r="19" spans="1:16" ht="22.05" customHeight="1" x14ac:dyDescent="0.3">
      <c r="A19" s="35" t="s">
        <v>194</v>
      </c>
      <c r="B19" s="7" t="s">
        <v>195</v>
      </c>
      <c r="C19" s="7" t="s">
        <v>158</v>
      </c>
      <c r="D19" s="7" t="s">
        <v>14</v>
      </c>
      <c r="E19" s="7" t="s">
        <v>14</v>
      </c>
      <c r="F19" s="7" t="s">
        <v>83</v>
      </c>
      <c r="G19" s="7" t="s">
        <v>85</v>
      </c>
      <c r="H19" s="41" t="s">
        <v>164</v>
      </c>
      <c r="I19" s="7">
        <v>16</v>
      </c>
      <c r="J19" s="7">
        <v>20</v>
      </c>
      <c r="K19" s="7">
        <v>21</v>
      </c>
      <c r="L19" s="7">
        <f t="shared" si="0"/>
        <v>0</v>
      </c>
      <c r="M19" s="37">
        <f t="shared" si="1"/>
        <v>1</v>
      </c>
      <c r="N19" s="17" t="s">
        <v>112</v>
      </c>
      <c r="O19" s="7" t="s">
        <v>155</v>
      </c>
      <c r="P19" s="7"/>
    </row>
    <row r="20" spans="1:16" ht="22.05" customHeight="1" x14ac:dyDescent="0.3">
      <c r="A20" s="39" t="s">
        <v>196</v>
      </c>
      <c r="B20" s="10" t="s">
        <v>197</v>
      </c>
      <c r="C20" s="10" t="s">
        <v>158</v>
      </c>
      <c r="D20" s="10" t="s">
        <v>14</v>
      </c>
      <c r="E20" s="10" t="s">
        <v>14</v>
      </c>
      <c r="F20" s="10" t="s">
        <v>67</v>
      </c>
      <c r="G20" s="10" t="s">
        <v>69</v>
      </c>
      <c r="H20" s="36" t="s">
        <v>149</v>
      </c>
      <c r="I20" s="10">
        <v>16</v>
      </c>
      <c r="J20" s="10">
        <v>16</v>
      </c>
      <c r="K20" s="10">
        <v>17</v>
      </c>
      <c r="L20" s="7">
        <f t="shared" si="0"/>
        <v>0</v>
      </c>
      <c r="M20" s="37">
        <f t="shared" si="1"/>
        <v>1</v>
      </c>
      <c r="N20" s="17" t="s">
        <v>112</v>
      </c>
      <c r="O20" s="10" t="s">
        <v>155</v>
      </c>
      <c r="P20" s="10"/>
    </row>
    <row r="21" spans="1:16" ht="22.05" customHeight="1" x14ac:dyDescent="0.3">
      <c r="A21" s="35" t="s">
        <v>198</v>
      </c>
      <c r="B21" s="7" t="s">
        <v>199</v>
      </c>
      <c r="C21" s="7" t="s">
        <v>148</v>
      </c>
      <c r="D21" s="7" t="s">
        <v>16</v>
      </c>
      <c r="E21" s="7" t="s">
        <v>16</v>
      </c>
      <c r="F21" s="7" t="s">
        <v>73</v>
      </c>
      <c r="G21" s="7" t="s">
        <v>75</v>
      </c>
      <c r="H21" s="36" t="s">
        <v>149</v>
      </c>
      <c r="I21" s="7">
        <v>24</v>
      </c>
      <c r="J21" s="7">
        <v>28</v>
      </c>
      <c r="K21" s="7">
        <v>30</v>
      </c>
      <c r="L21" s="7">
        <f t="shared" si="0"/>
        <v>0</v>
      </c>
      <c r="M21" s="37">
        <f t="shared" si="1"/>
        <v>1</v>
      </c>
      <c r="N21" s="17" t="s">
        <v>112</v>
      </c>
      <c r="O21" s="7" t="s">
        <v>155</v>
      </c>
      <c r="P21" s="7"/>
    </row>
    <row r="22" spans="1:16" ht="22.05" customHeight="1" x14ac:dyDescent="0.3">
      <c r="A22" s="39" t="s">
        <v>200</v>
      </c>
      <c r="B22" s="10" t="s">
        <v>201</v>
      </c>
      <c r="C22" s="10" t="s">
        <v>148</v>
      </c>
      <c r="D22" s="10" t="s">
        <v>16</v>
      </c>
      <c r="E22" s="10" t="s">
        <v>16</v>
      </c>
      <c r="F22" s="10" t="s">
        <v>73</v>
      </c>
      <c r="G22" s="10" t="s">
        <v>75</v>
      </c>
      <c r="H22" s="36" t="s">
        <v>149</v>
      </c>
      <c r="I22" s="10">
        <v>20</v>
      </c>
      <c r="J22" s="10">
        <v>24</v>
      </c>
      <c r="K22" s="10">
        <v>26</v>
      </c>
      <c r="L22" s="7">
        <f t="shared" si="0"/>
        <v>0</v>
      </c>
      <c r="M22" s="37">
        <f t="shared" si="1"/>
        <v>1</v>
      </c>
      <c r="N22" s="17" t="s">
        <v>112</v>
      </c>
      <c r="O22" s="10" t="s">
        <v>155</v>
      </c>
      <c r="P22" s="10"/>
    </row>
    <row r="23" spans="1:16" ht="22.05" customHeight="1" x14ac:dyDescent="0.3">
      <c r="A23" s="35" t="s">
        <v>202</v>
      </c>
      <c r="B23" s="7" t="s">
        <v>203</v>
      </c>
      <c r="C23" s="7" t="s">
        <v>148</v>
      </c>
      <c r="D23" s="7" t="s">
        <v>16</v>
      </c>
      <c r="E23" s="7" t="s">
        <v>16</v>
      </c>
      <c r="F23" s="7" t="s">
        <v>73</v>
      </c>
      <c r="G23" s="7" t="s">
        <v>75</v>
      </c>
      <c r="H23" s="36" t="s">
        <v>149</v>
      </c>
      <c r="I23" s="7">
        <v>24</v>
      </c>
      <c r="J23" s="7">
        <v>30</v>
      </c>
      <c r="K23" s="7">
        <v>32</v>
      </c>
      <c r="L23" s="7">
        <f t="shared" si="0"/>
        <v>0</v>
      </c>
      <c r="M23" s="37">
        <f t="shared" si="1"/>
        <v>1</v>
      </c>
      <c r="N23" s="17" t="s">
        <v>112</v>
      </c>
      <c r="O23" s="38" t="s">
        <v>150</v>
      </c>
      <c r="P23" s="7" t="s">
        <v>204</v>
      </c>
    </row>
    <row r="24" spans="1:16" ht="22.05" customHeight="1" x14ac:dyDescent="0.3">
      <c r="A24" s="39" t="s">
        <v>205</v>
      </c>
      <c r="B24" s="10" t="s">
        <v>206</v>
      </c>
      <c r="C24" s="10" t="s">
        <v>158</v>
      </c>
      <c r="D24" s="10" t="s">
        <v>16</v>
      </c>
      <c r="E24" s="10" t="s">
        <v>16</v>
      </c>
      <c r="F24" s="10" t="s">
        <v>73</v>
      </c>
      <c r="G24" s="10" t="s">
        <v>75</v>
      </c>
      <c r="H24" s="36" t="s">
        <v>149</v>
      </c>
      <c r="I24" s="10">
        <v>20</v>
      </c>
      <c r="J24" s="10">
        <v>24</v>
      </c>
      <c r="K24" s="10">
        <v>24</v>
      </c>
      <c r="L24" s="7">
        <f t="shared" si="0"/>
        <v>0</v>
      </c>
      <c r="M24" s="37">
        <f t="shared" si="1"/>
        <v>1</v>
      </c>
      <c r="N24" s="17" t="s">
        <v>112</v>
      </c>
      <c r="O24" s="10" t="s">
        <v>155</v>
      </c>
      <c r="P24" s="10"/>
    </row>
    <row r="25" spans="1:16" ht="22.05" customHeight="1" x14ac:dyDescent="0.3">
      <c r="A25" s="35" t="s">
        <v>207</v>
      </c>
      <c r="B25" s="7" t="s">
        <v>208</v>
      </c>
      <c r="C25" s="7" t="s">
        <v>158</v>
      </c>
      <c r="D25" s="7" t="s">
        <v>16</v>
      </c>
      <c r="E25" s="7" t="s">
        <v>16</v>
      </c>
      <c r="F25" s="7" t="s">
        <v>73</v>
      </c>
      <c r="G25" s="7" t="s">
        <v>75</v>
      </c>
      <c r="H25" s="36" t="s">
        <v>149</v>
      </c>
      <c r="I25" s="7">
        <v>16</v>
      </c>
      <c r="J25" s="7">
        <v>20</v>
      </c>
      <c r="K25" s="7">
        <v>21</v>
      </c>
      <c r="L25" s="7">
        <f t="shared" si="0"/>
        <v>0</v>
      </c>
      <c r="M25" s="37">
        <f t="shared" si="1"/>
        <v>1</v>
      </c>
      <c r="N25" s="17" t="s">
        <v>112</v>
      </c>
      <c r="O25" s="7" t="s">
        <v>155</v>
      </c>
      <c r="P25" s="7"/>
    </row>
    <row r="26" spans="1:16" ht="22.05" customHeight="1" x14ac:dyDescent="0.3">
      <c r="A26" s="39" t="s">
        <v>209</v>
      </c>
      <c r="B26" s="10" t="s">
        <v>210</v>
      </c>
      <c r="C26" s="10" t="s">
        <v>158</v>
      </c>
      <c r="D26" s="10" t="s">
        <v>16</v>
      </c>
      <c r="E26" s="10" t="s">
        <v>16</v>
      </c>
      <c r="F26" s="10" t="s">
        <v>61</v>
      </c>
      <c r="G26" s="10" t="s">
        <v>63</v>
      </c>
      <c r="H26" s="41" t="s">
        <v>164</v>
      </c>
      <c r="I26" s="10">
        <v>16</v>
      </c>
      <c r="J26" s="10">
        <v>16</v>
      </c>
      <c r="K26" s="10">
        <v>18</v>
      </c>
      <c r="L26" s="7">
        <f t="shared" si="0"/>
        <v>0</v>
      </c>
      <c r="M26" s="37">
        <f t="shared" si="1"/>
        <v>1</v>
      </c>
      <c r="N26" s="17" t="s">
        <v>112</v>
      </c>
      <c r="O26" s="10" t="s">
        <v>155</v>
      </c>
      <c r="P26" s="10"/>
    </row>
    <row r="27" spans="1:16" ht="22.05" customHeight="1" x14ac:dyDescent="0.3">
      <c r="A27" s="35" t="s">
        <v>211</v>
      </c>
      <c r="B27" s="7" t="s">
        <v>212</v>
      </c>
      <c r="C27" s="7" t="s">
        <v>154</v>
      </c>
      <c r="D27" s="7" t="s">
        <v>16</v>
      </c>
      <c r="E27" s="7" t="s">
        <v>16</v>
      </c>
      <c r="F27" s="7" t="s">
        <v>83</v>
      </c>
      <c r="G27" s="7" t="s">
        <v>85</v>
      </c>
      <c r="H27" s="41" t="s">
        <v>164</v>
      </c>
      <c r="I27" s="7">
        <v>16</v>
      </c>
      <c r="J27" s="7">
        <v>20</v>
      </c>
      <c r="K27" s="7">
        <v>22</v>
      </c>
      <c r="L27" s="7">
        <f t="shared" si="0"/>
        <v>0</v>
      </c>
      <c r="M27" s="37">
        <f t="shared" si="1"/>
        <v>1</v>
      </c>
      <c r="N27" s="17" t="s">
        <v>112</v>
      </c>
      <c r="O27" s="7" t="s">
        <v>155</v>
      </c>
      <c r="P27" s="7"/>
    </row>
    <row r="28" spans="1:16" ht="22.05" customHeight="1" x14ac:dyDescent="0.3">
      <c r="A28" s="39" t="s">
        <v>213</v>
      </c>
      <c r="B28" s="10" t="s">
        <v>214</v>
      </c>
      <c r="C28" s="10" t="s">
        <v>215</v>
      </c>
      <c r="D28" s="10" t="s">
        <v>16</v>
      </c>
      <c r="E28" s="10" t="s">
        <v>16</v>
      </c>
      <c r="F28" s="10" t="s">
        <v>73</v>
      </c>
      <c r="G28" s="10" t="s">
        <v>75</v>
      </c>
      <c r="H28" s="36" t="s">
        <v>149</v>
      </c>
      <c r="I28" s="10">
        <v>8</v>
      </c>
      <c r="J28" s="10">
        <v>8</v>
      </c>
      <c r="K28" s="10">
        <v>9</v>
      </c>
      <c r="L28" s="7">
        <f t="shared" si="0"/>
        <v>0</v>
      </c>
      <c r="M28" s="37">
        <f t="shared" si="1"/>
        <v>1</v>
      </c>
      <c r="N28" s="17" t="s">
        <v>112</v>
      </c>
      <c r="O28" s="10" t="s">
        <v>155</v>
      </c>
      <c r="P28" s="10"/>
    </row>
    <row r="29" spans="1:16" ht="22.05" customHeight="1" x14ac:dyDescent="0.3">
      <c r="A29" s="35" t="s">
        <v>216</v>
      </c>
      <c r="B29" s="7" t="s">
        <v>217</v>
      </c>
      <c r="C29" s="7" t="s">
        <v>170</v>
      </c>
      <c r="D29" s="7" t="s">
        <v>16</v>
      </c>
      <c r="E29" s="7" t="s">
        <v>16</v>
      </c>
      <c r="F29" s="7" t="s">
        <v>73</v>
      </c>
      <c r="G29" s="7" t="s">
        <v>75</v>
      </c>
      <c r="H29" s="41" t="s">
        <v>164</v>
      </c>
      <c r="I29" s="7">
        <v>12</v>
      </c>
      <c r="J29" s="7">
        <v>16</v>
      </c>
      <c r="K29" s="7">
        <v>16</v>
      </c>
      <c r="L29" s="7">
        <f t="shared" si="0"/>
        <v>0</v>
      </c>
      <c r="M29" s="37">
        <f t="shared" si="1"/>
        <v>1</v>
      </c>
      <c r="N29" s="17" t="s">
        <v>112</v>
      </c>
      <c r="O29" s="7" t="s">
        <v>155</v>
      </c>
      <c r="P29" s="7"/>
    </row>
    <row r="30" spans="1:16" ht="22.05" customHeight="1" x14ac:dyDescent="0.3">
      <c r="A30" s="39" t="s">
        <v>218</v>
      </c>
      <c r="B30" s="10" t="s">
        <v>219</v>
      </c>
      <c r="C30" s="10" t="s">
        <v>148</v>
      </c>
      <c r="D30" s="43" t="s">
        <v>18</v>
      </c>
      <c r="E30" s="43" t="s">
        <v>16</v>
      </c>
      <c r="F30" s="10" t="s">
        <v>78</v>
      </c>
      <c r="G30" s="10" t="s">
        <v>80</v>
      </c>
      <c r="H30" s="36" t="s">
        <v>149</v>
      </c>
      <c r="I30" s="10">
        <v>24</v>
      </c>
      <c r="J30" s="10">
        <v>32</v>
      </c>
      <c r="K30" s="10">
        <v>20</v>
      </c>
      <c r="L30" s="7">
        <f t="shared" si="0"/>
        <v>12</v>
      </c>
      <c r="M30" s="37">
        <f t="shared" si="1"/>
        <v>0.625</v>
      </c>
      <c r="N30" s="23" t="s">
        <v>116</v>
      </c>
      <c r="O30" s="38" t="s">
        <v>150</v>
      </c>
      <c r="P30" s="10" t="s">
        <v>220</v>
      </c>
    </row>
    <row r="31" spans="1:16" ht="22.05" customHeight="1" x14ac:dyDescent="0.3">
      <c r="A31" s="35" t="s">
        <v>221</v>
      </c>
      <c r="B31" s="7" t="s">
        <v>222</v>
      </c>
      <c r="C31" s="7" t="s">
        <v>148</v>
      </c>
      <c r="D31" s="7" t="s">
        <v>18</v>
      </c>
      <c r="E31" s="7" t="s">
        <v>18</v>
      </c>
      <c r="F31" s="7" t="s">
        <v>61</v>
      </c>
      <c r="G31" s="7" t="s">
        <v>63</v>
      </c>
      <c r="H31" s="36" t="s">
        <v>149</v>
      </c>
      <c r="I31" s="7">
        <v>40</v>
      </c>
      <c r="J31" s="7">
        <v>48</v>
      </c>
      <c r="K31" s="7">
        <v>50</v>
      </c>
      <c r="L31" s="7">
        <f t="shared" si="0"/>
        <v>0</v>
      </c>
      <c r="M31" s="37">
        <f t="shared" si="1"/>
        <v>1</v>
      </c>
      <c r="N31" s="17" t="s">
        <v>112</v>
      </c>
      <c r="O31" s="7" t="s">
        <v>155</v>
      </c>
      <c r="P31" s="7"/>
    </row>
    <row r="32" spans="1:16" ht="22.05" customHeight="1" x14ac:dyDescent="0.3">
      <c r="A32" s="39" t="s">
        <v>223</v>
      </c>
      <c r="B32" s="10" t="s">
        <v>224</v>
      </c>
      <c r="C32" s="10" t="s">
        <v>148</v>
      </c>
      <c r="D32" s="10" t="s">
        <v>18</v>
      </c>
      <c r="E32" s="10" t="s">
        <v>18</v>
      </c>
      <c r="F32" s="10" t="s">
        <v>61</v>
      </c>
      <c r="G32" s="10" t="s">
        <v>64</v>
      </c>
      <c r="H32" s="36" t="s">
        <v>149</v>
      </c>
      <c r="I32" s="10">
        <v>32</v>
      </c>
      <c r="J32" s="10">
        <v>40</v>
      </c>
      <c r="K32" s="10">
        <v>42</v>
      </c>
      <c r="L32" s="7">
        <f t="shared" si="0"/>
        <v>0</v>
      </c>
      <c r="M32" s="37">
        <f t="shared" si="1"/>
        <v>1</v>
      </c>
      <c r="N32" s="17" t="s">
        <v>112</v>
      </c>
      <c r="O32" s="38" t="s">
        <v>150</v>
      </c>
      <c r="P32" s="10" t="s">
        <v>225</v>
      </c>
    </row>
    <row r="33" spans="1:16" ht="22.05" customHeight="1" x14ac:dyDescent="0.3">
      <c r="A33" s="35" t="s">
        <v>226</v>
      </c>
      <c r="B33" s="7" t="s">
        <v>227</v>
      </c>
      <c r="C33" s="7" t="s">
        <v>158</v>
      </c>
      <c r="D33" s="7" t="s">
        <v>18</v>
      </c>
      <c r="E33" s="7" t="s">
        <v>18</v>
      </c>
      <c r="F33" s="7" t="s">
        <v>73</v>
      </c>
      <c r="G33" s="7" t="s">
        <v>76</v>
      </c>
      <c r="H33" s="36" t="s">
        <v>149</v>
      </c>
      <c r="I33" s="7">
        <v>20</v>
      </c>
      <c r="J33" s="7">
        <v>24</v>
      </c>
      <c r="K33" s="7">
        <v>25</v>
      </c>
      <c r="L33" s="7">
        <f t="shared" si="0"/>
        <v>0</v>
      </c>
      <c r="M33" s="37">
        <f t="shared" si="1"/>
        <v>1</v>
      </c>
      <c r="N33" s="17" t="s">
        <v>112</v>
      </c>
      <c r="O33" s="7" t="s">
        <v>155</v>
      </c>
      <c r="P33" s="7"/>
    </row>
    <row r="34" spans="1:16" ht="22.05" customHeight="1" x14ac:dyDescent="0.3">
      <c r="A34" s="39" t="s">
        <v>228</v>
      </c>
      <c r="B34" s="10" t="s">
        <v>229</v>
      </c>
      <c r="C34" s="10" t="s">
        <v>158</v>
      </c>
      <c r="D34" s="10" t="s">
        <v>18</v>
      </c>
      <c r="E34" s="10" t="s">
        <v>18</v>
      </c>
      <c r="F34" s="10" t="s">
        <v>73</v>
      </c>
      <c r="G34" s="10" t="s">
        <v>76</v>
      </c>
      <c r="H34" s="36" t="s">
        <v>149</v>
      </c>
      <c r="I34" s="10">
        <v>20</v>
      </c>
      <c r="J34" s="10">
        <v>24</v>
      </c>
      <c r="K34" s="10">
        <v>24</v>
      </c>
      <c r="L34" s="7">
        <f t="shared" si="0"/>
        <v>0</v>
      </c>
      <c r="M34" s="37">
        <f t="shared" si="1"/>
        <v>1</v>
      </c>
      <c r="N34" s="17" t="s">
        <v>112</v>
      </c>
      <c r="O34" s="10" t="s">
        <v>155</v>
      </c>
      <c r="P34" s="10"/>
    </row>
    <row r="35" spans="1:16" ht="22.05" customHeight="1" x14ac:dyDescent="0.3">
      <c r="A35" s="35" t="s">
        <v>230</v>
      </c>
      <c r="B35" s="7" t="s">
        <v>231</v>
      </c>
      <c r="C35" s="7" t="s">
        <v>158</v>
      </c>
      <c r="D35" s="7" t="s">
        <v>18</v>
      </c>
      <c r="E35" s="7" t="s">
        <v>18</v>
      </c>
      <c r="F35" s="7" t="s">
        <v>67</v>
      </c>
      <c r="G35" s="7" t="s">
        <v>70</v>
      </c>
      <c r="H35" s="36" t="s">
        <v>149</v>
      </c>
      <c r="I35" s="7">
        <v>24</v>
      </c>
      <c r="J35" s="7">
        <v>28</v>
      </c>
      <c r="K35" s="7">
        <v>30</v>
      </c>
      <c r="L35" s="7">
        <f t="shared" ref="L35:L66" si="2">MAX(0,J35-K35)</f>
        <v>0</v>
      </c>
      <c r="M35" s="37">
        <f t="shared" ref="M35:M66" si="3">IF(J35=0,0,MIN(1,(J35-L35)/J35))</f>
        <v>1</v>
      </c>
      <c r="N35" s="17" t="s">
        <v>112</v>
      </c>
      <c r="O35" s="7" t="s">
        <v>155</v>
      </c>
      <c r="P35" s="7"/>
    </row>
    <row r="36" spans="1:16" ht="22.05" customHeight="1" x14ac:dyDescent="0.3">
      <c r="A36" s="39" t="s">
        <v>232</v>
      </c>
      <c r="B36" s="10" t="s">
        <v>233</v>
      </c>
      <c r="C36" s="10" t="s">
        <v>158</v>
      </c>
      <c r="D36" s="10" t="s">
        <v>18</v>
      </c>
      <c r="E36" s="10" t="s">
        <v>18</v>
      </c>
      <c r="F36" s="10" t="s">
        <v>61</v>
      </c>
      <c r="G36" s="10" t="s">
        <v>63</v>
      </c>
      <c r="H36" s="41" t="s">
        <v>164</v>
      </c>
      <c r="I36" s="10">
        <v>16</v>
      </c>
      <c r="J36" s="10">
        <v>20</v>
      </c>
      <c r="K36" s="10">
        <v>21</v>
      </c>
      <c r="L36" s="7">
        <f t="shared" si="2"/>
        <v>0</v>
      </c>
      <c r="M36" s="37">
        <f t="shared" si="3"/>
        <v>1</v>
      </c>
      <c r="N36" s="17" t="s">
        <v>112</v>
      </c>
      <c r="O36" s="10" t="s">
        <v>155</v>
      </c>
      <c r="P36" s="10"/>
    </row>
    <row r="37" spans="1:16" ht="22.05" customHeight="1" x14ac:dyDescent="0.3">
      <c r="A37" s="35" t="s">
        <v>234</v>
      </c>
      <c r="B37" s="7" t="s">
        <v>235</v>
      </c>
      <c r="C37" s="7" t="s">
        <v>154</v>
      </c>
      <c r="D37" s="7" t="s">
        <v>18</v>
      </c>
      <c r="E37" s="7" t="s">
        <v>18</v>
      </c>
      <c r="F37" s="7" t="s">
        <v>83</v>
      </c>
      <c r="G37" s="7" t="s">
        <v>85</v>
      </c>
      <c r="H37" s="36" t="s">
        <v>149</v>
      </c>
      <c r="I37" s="7">
        <v>20</v>
      </c>
      <c r="J37" s="7">
        <v>20</v>
      </c>
      <c r="K37" s="7">
        <v>24</v>
      </c>
      <c r="L37" s="7">
        <f t="shared" si="2"/>
        <v>0</v>
      </c>
      <c r="M37" s="37">
        <f t="shared" si="3"/>
        <v>1</v>
      </c>
      <c r="N37" s="17" t="s">
        <v>112</v>
      </c>
      <c r="O37" s="7" t="s">
        <v>155</v>
      </c>
      <c r="P37" s="7"/>
    </row>
    <row r="38" spans="1:16" ht="22.05" customHeight="1" x14ac:dyDescent="0.3">
      <c r="A38" s="39" t="s">
        <v>236</v>
      </c>
      <c r="B38" s="10" t="s">
        <v>237</v>
      </c>
      <c r="C38" s="10" t="s">
        <v>215</v>
      </c>
      <c r="D38" s="10" t="s">
        <v>18</v>
      </c>
      <c r="E38" s="10" t="s">
        <v>18</v>
      </c>
      <c r="F38" s="10" t="s">
        <v>61</v>
      </c>
      <c r="G38" s="10" t="s">
        <v>63</v>
      </c>
      <c r="H38" s="36" t="s">
        <v>149</v>
      </c>
      <c r="I38" s="10">
        <v>12</v>
      </c>
      <c r="J38" s="10">
        <v>12</v>
      </c>
      <c r="K38" s="10">
        <v>14</v>
      </c>
      <c r="L38" s="7">
        <f t="shared" si="2"/>
        <v>0</v>
      </c>
      <c r="M38" s="37">
        <f t="shared" si="3"/>
        <v>1</v>
      </c>
      <c r="N38" s="17" t="s">
        <v>112</v>
      </c>
      <c r="O38" s="10" t="s">
        <v>155</v>
      </c>
      <c r="P38" s="10"/>
    </row>
    <row r="39" spans="1:16" ht="22.05" customHeight="1" x14ac:dyDescent="0.3">
      <c r="A39" s="35" t="s">
        <v>238</v>
      </c>
      <c r="B39" s="7" t="s">
        <v>239</v>
      </c>
      <c r="C39" s="7" t="s">
        <v>148</v>
      </c>
      <c r="D39" s="7" t="s">
        <v>18</v>
      </c>
      <c r="E39" s="7" t="s">
        <v>18</v>
      </c>
      <c r="F39" s="7" t="s">
        <v>78</v>
      </c>
      <c r="G39" s="7" t="s">
        <v>80</v>
      </c>
      <c r="H39" s="36" t="s">
        <v>149</v>
      </c>
      <c r="I39" s="7">
        <v>28</v>
      </c>
      <c r="J39" s="7">
        <v>36</v>
      </c>
      <c r="K39" s="7">
        <v>30</v>
      </c>
      <c r="L39" s="7">
        <f t="shared" si="2"/>
        <v>6</v>
      </c>
      <c r="M39" s="37">
        <f t="shared" si="3"/>
        <v>0.83333333333333337</v>
      </c>
      <c r="N39" s="23" t="s">
        <v>116</v>
      </c>
      <c r="O39" s="38" t="s">
        <v>150</v>
      </c>
      <c r="P39" s="7" t="s">
        <v>240</v>
      </c>
    </row>
    <row r="40" spans="1:16" ht="22.05" customHeight="1" x14ac:dyDescent="0.3">
      <c r="A40" s="39" t="s">
        <v>241</v>
      </c>
      <c r="B40" s="10" t="s">
        <v>242</v>
      </c>
      <c r="C40" s="10" t="s">
        <v>154</v>
      </c>
      <c r="D40" s="10" t="s">
        <v>18</v>
      </c>
      <c r="E40" s="10" t="s">
        <v>18</v>
      </c>
      <c r="F40" s="10" t="s">
        <v>61</v>
      </c>
      <c r="G40" s="10" t="s">
        <v>63</v>
      </c>
      <c r="H40" s="41" t="s">
        <v>164</v>
      </c>
      <c r="I40" s="10">
        <v>12</v>
      </c>
      <c r="J40" s="10">
        <v>16</v>
      </c>
      <c r="K40" s="10">
        <v>10</v>
      </c>
      <c r="L40" s="7">
        <f t="shared" si="2"/>
        <v>6</v>
      </c>
      <c r="M40" s="37">
        <f t="shared" si="3"/>
        <v>0.625</v>
      </c>
      <c r="N40" s="23" t="s">
        <v>116</v>
      </c>
      <c r="O40" s="10" t="s">
        <v>155</v>
      </c>
      <c r="P40" s="10" t="s">
        <v>243</v>
      </c>
    </row>
    <row r="41" spans="1:16" ht="22.05" customHeight="1" x14ac:dyDescent="0.3">
      <c r="A41" s="35" t="s">
        <v>244</v>
      </c>
      <c r="B41" s="7" t="s">
        <v>245</v>
      </c>
      <c r="C41" s="7" t="s">
        <v>170</v>
      </c>
      <c r="D41" s="7" t="s">
        <v>18</v>
      </c>
      <c r="E41" s="7" t="s">
        <v>18</v>
      </c>
      <c r="F41" s="7" t="s">
        <v>78</v>
      </c>
      <c r="G41" s="7" t="s">
        <v>80</v>
      </c>
      <c r="H41" s="36" t="s">
        <v>149</v>
      </c>
      <c r="I41" s="7">
        <v>16</v>
      </c>
      <c r="J41" s="7">
        <v>20</v>
      </c>
      <c r="K41" s="7">
        <v>20</v>
      </c>
      <c r="L41" s="7">
        <f t="shared" si="2"/>
        <v>0</v>
      </c>
      <c r="M41" s="37">
        <f t="shared" si="3"/>
        <v>1</v>
      </c>
      <c r="N41" s="17" t="s">
        <v>112</v>
      </c>
      <c r="O41" s="7" t="s">
        <v>155</v>
      </c>
      <c r="P41" s="7"/>
    </row>
    <row r="42" spans="1:16" ht="22.05" customHeight="1" x14ac:dyDescent="0.3">
      <c r="A42" s="39" t="s">
        <v>246</v>
      </c>
      <c r="B42" s="10" t="s">
        <v>247</v>
      </c>
      <c r="C42" s="10" t="s">
        <v>215</v>
      </c>
      <c r="D42" s="43" t="s">
        <v>117</v>
      </c>
      <c r="E42" s="43" t="s">
        <v>18</v>
      </c>
      <c r="F42" s="10" t="s">
        <v>67</v>
      </c>
      <c r="G42" s="10" t="s">
        <v>70</v>
      </c>
      <c r="H42" s="36" t="s">
        <v>149</v>
      </c>
      <c r="I42" s="10">
        <v>10</v>
      </c>
      <c r="J42" s="10">
        <v>10</v>
      </c>
      <c r="K42" s="10">
        <v>0</v>
      </c>
      <c r="L42" s="7">
        <f t="shared" si="2"/>
        <v>10</v>
      </c>
      <c r="M42" s="37">
        <f t="shared" si="3"/>
        <v>0</v>
      </c>
      <c r="N42" s="44" t="s">
        <v>248</v>
      </c>
      <c r="O42" s="10" t="s">
        <v>155</v>
      </c>
      <c r="P42" s="10" t="s">
        <v>249</v>
      </c>
    </row>
    <row r="43" spans="1:16" ht="22.05" customHeight="1" x14ac:dyDescent="0.3">
      <c r="A43" s="35" t="s">
        <v>250</v>
      </c>
      <c r="B43" s="7" t="s">
        <v>251</v>
      </c>
      <c r="C43" s="7" t="s">
        <v>148</v>
      </c>
      <c r="D43" s="7" t="s">
        <v>117</v>
      </c>
      <c r="E43" s="7" t="s">
        <v>117</v>
      </c>
      <c r="F43" s="7" t="s">
        <v>88</v>
      </c>
      <c r="G43" s="7" t="s">
        <v>91</v>
      </c>
      <c r="H43" s="36" t="s">
        <v>149</v>
      </c>
      <c r="I43" s="7">
        <v>40</v>
      </c>
      <c r="J43" s="7">
        <v>44</v>
      </c>
      <c r="K43" s="7">
        <v>0</v>
      </c>
      <c r="L43" s="7">
        <f t="shared" si="2"/>
        <v>44</v>
      </c>
      <c r="M43" s="37">
        <f t="shared" si="3"/>
        <v>0</v>
      </c>
      <c r="N43" s="28" t="s">
        <v>119</v>
      </c>
      <c r="O43" s="7" t="s">
        <v>155</v>
      </c>
      <c r="P43" s="7"/>
    </row>
    <row r="44" spans="1:16" ht="22.05" customHeight="1" x14ac:dyDescent="0.3">
      <c r="A44" s="39" t="s">
        <v>252</v>
      </c>
      <c r="B44" s="10" t="s">
        <v>253</v>
      </c>
      <c r="C44" s="10" t="s">
        <v>148</v>
      </c>
      <c r="D44" s="10" t="s">
        <v>117</v>
      </c>
      <c r="E44" s="10" t="s">
        <v>117</v>
      </c>
      <c r="F44" s="10" t="s">
        <v>88</v>
      </c>
      <c r="G44" s="10" t="s">
        <v>90</v>
      </c>
      <c r="H44" s="36" t="s">
        <v>149</v>
      </c>
      <c r="I44" s="10">
        <v>36</v>
      </c>
      <c r="J44" s="10">
        <v>36</v>
      </c>
      <c r="K44" s="10">
        <v>0</v>
      </c>
      <c r="L44" s="7">
        <f t="shared" si="2"/>
        <v>36</v>
      </c>
      <c r="M44" s="37">
        <f t="shared" si="3"/>
        <v>0</v>
      </c>
      <c r="N44" s="28" t="s">
        <v>119</v>
      </c>
      <c r="O44" s="10" t="s">
        <v>155</v>
      </c>
      <c r="P44" s="10"/>
    </row>
    <row r="45" spans="1:16" ht="22.05" customHeight="1" x14ac:dyDescent="0.3">
      <c r="A45" s="35" t="s">
        <v>254</v>
      </c>
      <c r="B45" s="7" t="s">
        <v>255</v>
      </c>
      <c r="C45" s="7" t="s">
        <v>158</v>
      </c>
      <c r="D45" s="7" t="s">
        <v>117</v>
      </c>
      <c r="E45" s="7" t="s">
        <v>117</v>
      </c>
      <c r="F45" s="7" t="s">
        <v>88</v>
      </c>
      <c r="G45" s="7" t="s">
        <v>91</v>
      </c>
      <c r="H45" s="36" t="s">
        <v>149</v>
      </c>
      <c r="I45" s="7">
        <v>24</v>
      </c>
      <c r="J45" s="7">
        <v>28</v>
      </c>
      <c r="K45" s="7">
        <v>0</v>
      </c>
      <c r="L45" s="7">
        <f t="shared" si="2"/>
        <v>28</v>
      </c>
      <c r="M45" s="37">
        <f t="shared" si="3"/>
        <v>0</v>
      </c>
      <c r="N45" s="28" t="s">
        <v>119</v>
      </c>
      <c r="O45" s="7" t="s">
        <v>155</v>
      </c>
      <c r="P45" s="7"/>
    </row>
    <row r="46" spans="1:16" ht="22.05" customHeight="1" x14ac:dyDescent="0.3">
      <c r="A46" s="39" t="s">
        <v>256</v>
      </c>
      <c r="B46" s="10" t="s">
        <v>257</v>
      </c>
      <c r="C46" s="10" t="s">
        <v>158</v>
      </c>
      <c r="D46" s="10" t="s">
        <v>117</v>
      </c>
      <c r="E46" s="10" t="s">
        <v>117</v>
      </c>
      <c r="F46" s="10" t="s">
        <v>88</v>
      </c>
      <c r="G46" s="10" t="s">
        <v>90</v>
      </c>
      <c r="H46" s="36" t="s">
        <v>149</v>
      </c>
      <c r="I46" s="10">
        <v>28</v>
      </c>
      <c r="J46" s="10">
        <v>32</v>
      </c>
      <c r="K46" s="10">
        <v>0</v>
      </c>
      <c r="L46" s="7">
        <f t="shared" si="2"/>
        <v>32</v>
      </c>
      <c r="M46" s="37">
        <f t="shared" si="3"/>
        <v>0</v>
      </c>
      <c r="N46" s="28" t="s">
        <v>119</v>
      </c>
      <c r="O46" s="10" t="s">
        <v>155</v>
      </c>
      <c r="P46" s="10"/>
    </row>
    <row r="47" spans="1:16" ht="22.05" customHeight="1" x14ac:dyDescent="0.3">
      <c r="A47" s="35" t="s">
        <v>258</v>
      </c>
      <c r="B47" s="7" t="s">
        <v>259</v>
      </c>
      <c r="C47" s="7" t="s">
        <v>154</v>
      </c>
      <c r="D47" s="7" t="s">
        <v>117</v>
      </c>
      <c r="E47" s="7" t="s">
        <v>117</v>
      </c>
      <c r="F47" s="7" t="s">
        <v>83</v>
      </c>
      <c r="G47" s="7" t="s">
        <v>85</v>
      </c>
      <c r="H47" s="36" t="s">
        <v>149</v>
      </c>
      <c r="I47" s="7">
        <v>20</v>
      </c>
      <c r="J47" s="7">
        <v>20</v>
      </c>
      <c r="K47" s="7">
        <v>0</v>
      </c>
      <c r="L47" s="7">
        <f t="shared" si="2"/>
        <v>20</v>
      </c>
      <c r="M47" s="37">
        <f t="shared" si="3"/>
        <v>0</v>
      </c>
      <c r="N47" s="28" t="s">
        <v>119</v>
      </c>
      <c r="O47" s="7" t="s">
        <v>155</v>
      </c>
      <c r="P47" s="7" t="s">
        <v>260</v>
      </c>
    </row>
    <row r="48" spans="1:16" ht="22.05" customHeight="1" x14ac:dyDescent="0.3">
      <c r="A48" s="39" t="s">
        <v>261</v>
      </c>
      <c r="B48" s="10" t="s">
        <v>262</v>
      </c>
      <c r="C48" s="10" t="s">
        <v>158</v>
      </c>
      <c r="D48" s="10" t="s">
        <v>117</v>
      </c>
      <c r="E48" s="10" t="s">
        <v>117</v>
      </c>
      <c r="F48" s="10" t="s">
        <v>88</v>
      </c>
      <c r="G48" s="10" t="s">
        <v>90</v>
      </c>
      <c r="H48" s="36" t="s">
        <v>149</v>
      </c>
      <c r="I48" s="10">
        <v>20</v>
      </c>
      <c r="J48" s="10">
        <v>24</v>
      </c>
      <c r="K48" s="10">
        <v>0</v>
      </c>
      <c r="L48" s="7">
        <f t="shared" si="2"/>
        <v>24</v>
      </c>
      <c r="M48" s="37">
        <f t="shared" si="3"/>
        <v>0</v>
      </c>
      <c r="N48" s="28" t="s">
        <v>119</v>
      </c>
      <c r="O48" s="10" t="s">
        <v>155</v>
      </c>
      <c r="P48" s="10"/>
    </row>
    <row r="49" spans="1:16" ht="22.05" customHeight="1" x14ac:dyDescent="0.3">
      <c r="A49" s="35" t="s">
        <v>263</v>
      </c>
      <c r="B49" s="7" t="s">
        <v>264</v>
      </c>
      <c r="C49" s="7" t="s">
        <v>158</v>
      </c>
      <c r="D49" s="7" t="s">
        <v>117</v>
      </c>
      <c r="E49" s="7" t="s">
        <v>117</v>
      </c>
      <c r="F49" s="7" t="s">
        <v>88</v>
      </c>
      <c r="G49" s="7" t="s">
        <v>90</v>
      </c>
      <c r="H49" s="41" t="s">
        <v>164</v>
      </c>
      <c r="I49" s="7">
        <v>16</v>
      </c>
      <c r="J49" s="7">
        <v>20</v>
      </c>
      <c r="K49" s="7">
        <v>0</v>
      </c>
      <c r="L49" s="7">
        <f t="shared" si="2"/>
        <v>20</v>
      </c>
      <c r="M49" s="37">
        <f t="shared" si="3"/>
        <v>0</v>
      </c>
      <c r="N49" s="28" t="s">
        <v>119</v>
      </c>
      <c r="O49" s="7" t="s">
        <v>155</v>
      </c>
      <c r="P49" s="7"/>
    </row>
    <row r="50" spans="1:16" ht="22.05" customHeight="1" x14ac:dyDescent="0.3">
      <c r="A50" s="39" t="s">
        <v>265</v>
      </c>
      <c r="B50" s="10" t="s">
        <v>266</v>
      </c>
      <c r="C50" s="10" t="s">
        <v>148</v>
      </c>
      <c r="D50" s="10" t="s">
        <v>121</v>
      </c>
      <c r="E50" s="10" t="s">
        <v>121</v>
      </c>
      <c r="F50" s="10" t="s">
        <v>98</v>
      </c>
      <c r="G50" s="10" t="s">
        <v>100</v>
      </c>
      <c r="H50" s="36" t="s">
        <v>149</v>
      </c>
      <c r="I50" s="10">
        <v>36</v>
      </c>
      <c r="J50" s="10">
        <v>40</v>
      </c>
      <c r="K50" s="10">
        <v>0</v>
      </c>
      <c r="L50" s="7">
        <f t="shared" si="2"/>
        <v>40</v>
      </c>
      <c r="M50" s="37">
        <f t="shared" si="3"/>
        <v>0</v>
      </c>
      <c r="N50" s="28" t="s">
        <v>119</v>
      </c>
      <c r="O50" s="10" t="s">
        <v>155</v>
      </c>
      <c r="P50" s="10" t="s">
        <v>267</v>
      </c>
    </row>
    <row r="51" spans="1:16" ht="22.05" customHeight="1" x14ac:dyDescent="0.3">
      <c r="A51" s="35" t="s">
        <v>268</v>
      </c>
      <c r="B51" s="7" t="s">
        <v>269</v>
      </c>
      <c r="C51" s="7" t="s">
        <v>148</v>
      </c>
      <c r="D51" s="7" t="s">
        <v>121</v>
      </c>
      <c r="E51" s="7" t="s">
        <v>121</v>
      </c>
      <c r="F51" s="7" t="s">
        <v>98</v>
      </c>
      <c r="G51" s="7" t="s">
        <v>101</v>
      </c>
      <c r="H51" s="36" t="s">
        <v>149</v>
      </c>
      <c r="I51" s="7">
        <v>32</v>
      </c>
      <c r="J51" s="7">
        <v>32</v>
      </c>
      <c r="K51" s="7">
        <v>0</v>
      </c>
      <c r="L51" s="7">
        <f t="shared" si="2"/>
        <v>32</v>
      </c>
      <c r="M51" s="37">
        <f t="shared" si="3"/>
        <v>0</v>
      </c>
      <c r="N51" s="28" t="s">
        <v>119</v>
      </c>
      <c r="O51" s="7" t="s">
        <v>155</v>
      </c>
      <c r="P51" s="7"/>
    </row>
    <row r="52" spans="1:16" ht="22.05" customHeight="1" x14ac:dyDescent="0.3">
      <c r="A52" s="39" t="s">
        <v>270</v>
      </c>
      <c r="B52" s="10" t="s">
        <v>271</v>
      </c>
      <c r="C52" s="10" t="s">
        <v>158</v>
      </c>
      <c r="D52" s="10" t="s">
        <v>121</v>
      </c>
      <c r="E52" s="10" t="s">
        <v>121</v>
      </c>
      <c r="F52" s="10" t="s">
        <v>98</v>
      </c>
      <c r="G52" s="10" t="s">
        <v>100</v>
      </c>
      <c r="H52" s="36" t="s">
        <v>149</v>
      </c>
      <c r="I52" s="10">
        <v>24</v>
      </c>
      <c r="J52" s="10">
        <v>28</v>
      </c>
      <c r="K52" s="10">
        <v>0</v>
      </c>
      <c r="L52" s="7">
        <f t="shared" si="2"/>
        <v>28</v>
      </c>
      <c r="M52" s="37">
        <f t="shared" si="3"/>
        <v>0</v>
      </c>
      <c r="N52" s="28" t="s">
        <v>119</v>
      </c>
      <c r="O52" s="10" t="s">
        <v>155</v>
      </c>
      <c r="P52" s="10"/>
    </row>
    <row r="53" spans="1:16" ht="22.05" customHeight="1" x14ac:dyDescent="0.3">
      <c r="A53" s="35" t="s">
        <v>272</v>
      </c>
      <c r="B53" s="7" t="s">
        <v>273</v>
      </c>
      <c r="C53" s="7" t="s">
        <v>158</v>
      </c>
      <c r="D53" s="7" t="s">
        <v>121</v>
      </c>
      <c r="E53" s="7" t="s">
        <v>121</v>
      </c>
      <c r="F53" s="7" t="s">
        <v>88</v>
      </c>
      <c r="G53" s="7" t="s">
        <v>101</v>
      </c>
      <c r="H53" s="36" t="s">
        <v>149</v>
      </c>
      <c r="I53" s="7">
        <v>20</v>
      </c>
      <c r="J53" s="7">
        <v>24</v>
      </c>
      <c r="K53" s="7">
        <v>0</v>
      </c>
      <c r="L53" s="7">
        <f t="shared" si="2"/>
        <v>24</v>
      </c>
      <c r="M53" s="37">
        <f t="shared" si="3"/>
        <v>0</v>
      </c>
      <c r="N53" s="28" t="s">
        <v>119</v>
      </c>
      <c r="O53" s="7" t="s">
        <v>155</v>
      </c>
      <c r="P53" s="7"/>
    </row>
    <row r="54" spans="1:16" ht="22.05" customHeight="1" x14ac:dyDescent="0.3">
      <c r="A54" s="39" t="s">
        <v>274</v>
      </c>
      <c r="B54" s="10" t="s">
        <v>275</v>
      </c>
      <c r="C54" s="10" t="s">
        <v>158</v>
      </c>
      <c r="D54" s="10" t="s">
        <v>121</v>
      </c>
      <c r="E54" s="10" t="s">
        <v>121</v>
      </c>
      <c r="F54" s="10" t="s">
        <v>98</v>
      </c>
      <c r="G54" s="10" t="s">
        <v>100</v>
      </c>
      <c r="H54" s="41" t="s">
        <v>164</v>
      </c>
      <c r="I54" s="10">
        <v>16</v>
      </c>
      <c r="J54" s="10">
        <v>20</v>
      </c>
      <c r="K54" s="10">
        <v>0</v>
      </c>
      <c r="L54" s="7">
        <f t="shared" si="2"/>
        <v>20</v>
      </c>
      <c r="M54" s="37">
        <f t="shared" si="3"/>
        <v>0</v>
      </c>
      <c r="N54" s="28" t="s">
        <v>119</v>
      </c>
      <c r="O54" s="10" t="s">
        <v>155</v>
      </c>
      <c r="P54" s="10"/>
    </row>
    <row r="55" spans="1:16" ht="22.05" customHeight="1" x14ac:dyDescent="0.3">
      <c r="A55" s="35" t="s">
        <v>276</v>
      </c>
      <c r="B55" s="7" t="s">
        <v>277</v>
      </c>
      <c r="C55" s="7" t="s">
        <v>154</v>
      </c>
      <c r="D55" s="7" t="s">
        <v>121</v>
      </c>
      <c r="E55" s="7" t="s">
        <v>121</v>
      </c>
      <c r="F55" s="7" t="s">
        <v>83</v>
      </c>
      <c r="G55" s="7" t="s">
        <v>85</v>
      </c>
      <c r="H55" s="36" t="s">
        <v>149</v>
      </c>
      <c r="I55" s="7">
        <v>20</v>
      </c>
      <c r="J55" s="7">
        <v>20</v>
      </c>
      <c r="K55" s="7">
        <v>0</v>
      </c>
      <c r="L55" s="7">
        <f t="shared" si="2"/>
        <v>20</v>
      </c>
      <c r="M55" s="37">
        <f t="shared" si="3"/>
        <v>0</v>
      </c>
      <c r="N55" s="28" t="s">
        <v>119</v>
      </c>
      <c r="O55" s="7" t="s">
        <v>155</v>
      </c>
      <c r="P55" s="7" t="s">
        <v>278</v>
      </c>
    </row>
    <row r="56" spans="1:16" ht="22.05" customHeight="1" x14ac:dyDescent="0.3">
      <c r="A56" s="39" t="s">
        <v>279</v>
      </c>
      <c r="B56" s="10" t="s">
        <v>280</v>
      </c>
      <c r="C56" s="10" t="s">
        <v>170</v>
      </c>
      <c r="D56" s="10" t="s">
        <v>121</v>
      </c>
      <c r="E56" s="10" t="s">
        <v>121</v>
      </c>
      <c r="F56" s="10" t="s">
        <v>98</v>
      </c>
      <c r="G56" s="10" t="s">
        <v>101</v>
      </c>
      <c r="H56" s="41" t="s">
        <v>164</v>
      </c>
      <c r="I56" s="10">
        <v>16</v>
      </c>
      <c r="J56" s="10">
        <v>16</v>
      </c>
      <c r="K56" s="10">
        <v>0</v>
      </c>
      <c r="L56" s="7">
        <f t="shared" si="2"/>
        <v>16</v>
      </c>
      <c r="M56" s="37">
        <f t="shared" si="3"/>
        <v>0</v>
      </c>
      <c r="N56" s="28" t="s">
        <v>119</v>
      </c>
      <c r="O56" s="10" t="s">
        <v>155</v>
      </c>
      <c r="P56" s="10"/>
    </row>
    <row r="57" spans="1:16" ht="22.05" customHeight="1" x14ac:dyDescent="0.3">
      <c r="A57" s="35" t="s">
        <v>281</v>
      </c>
      <c r="B57" s="7" t="s">
        <v>282</v>
      </c>
      <c r="C57" s="7" t="s">
        <v>148</v>
      </c>
      <c r="D57" s="7" t="s">
        <v>123</v>
      </c>
      <c r="E57" s="7" t="s">
        <v>123</v>
      </c>
      <c r="F57" s="7" t="s">
        <v>83</v>
      </c>
      <c r="G57" s="7" t="s">
        <v>85</v>
      </c>
      <c r="H57" s="36" t="s">
        <v>149</v>
      </c>
      <c r="I57" s="7">
        <v>48</v>
      </c>
      <c r="J57" s="7">
        <v>56</v>
      </c>
      <c r="K57" s="7">
        <v>0</v>
      </c>
      <c r="L57" s="7">
        <f t="shared" si="2"/>
        <v>56</v>
      </c>
      <c r="M57" s="37">
        <f t="shared" si="3"/>
        <v>0</v>
      </c>
      <c r="N57" s="28" t="s">
        <v>119</v>
      </c>
      <c r="O57" s="7" t="s">
        <v>155</v>
      </c>
      <c r="P57" s="7" t="s">
        <v>283</v>
      </c>
    </row>
    <row r="58" spans="1:16" ht="22.05" customHeight="1" x14ac:dyDescent="0.3">
      <c r="A58" s="39" t="s">
        <v>284</v>
      </c>
      <c r="B58" s="10" t="s">
        <v>285</v>
      </c>
      <c r="C58" s="10" t="s">
        <v>148</v>
      </c>
      <c r="D58" s="10" t="s">
        <v>123</v>
      </c>
      <c r="E58" s="10" t="s">
        <v>123</v>
      </c>
      <c r="F58" s="10" t="s">
        <v>78</v>
      </c>
      <c r="G58" s="10" t="s">
        <v>80</v>
      </c>
      <c r="H58" s="36" t="s">
        <v>149</v>
      </c>
      <c r="I58" s="10">
        <v>36</v>
      </c>
      <c r="J58" s="10">
        <v>36</v>
      </c>
      <c r="K58" s="10">
        <v>0</v>
      </c>
      <c r="L58" s="7">
        <f t="shared" si="2"/>
        <v>36</v>
      </c>
      <c r="M58" s="37">
        <f t="shared" si="3"/>
        <v>0</v>
      </c>
      <c r="N58" s="28" t="s">
        <v>119</v>
      </c>
      <c r="O58" s="10" t="s">
        <v>155</v>
      </c>
      <c r="P58" s="10"/>
    </row>
    <row r="59" spans="1:16" ht="22.05" customHeight="1" x14ac:dyDescent="0.3">
      <c r="A59" s="35" t="s">
        <v>286</v>
      </c>
      <c r="B59" s="7" t="s">
        <v>287</v>
      </c>
      <c r="C59" s="7" t="s">
        <v>154</v>
      </c>
      <c r="D59" s="7" t="s">
        <v>123</v>
      </c>
      <c r="E59" s="7" t="s">
        <v>123</v>
      </c>
      <c r="F59" s="7" t="s">
        <v>83</v>
      </c>
      <c r="G59" s="7" t="s">
        <v>86</v>
      </c>
      <c r="H59" s="36" t="s">
        <v>149</v>
      </c>
      <c r="I59" s="7">
        <v>32</v>
      </c>
      <c r="J59" s="7">
        <v>36</v>
      </c>
      <c r="K59" s="7">
        <v>0</v>
      </c>
      <c r="L59" s="7">
        <f t="shared" si="2"/>
        <v>36</v>
      </c>
      <c r="M59" s="37">
        <f t="shared" si="3"/>
        <v>0</v>
      </c>
      <c r="N59" s="28" t="s">
        <v>119</v>
      </c>
      <c r="O59" s="7" t="s">
        <v>155</v>
      </c>
      <c r="P59" s="7"/>
    </row>
    <row r="60" spans="1:16" ht="22.05" customHeight="1" x14ac:dyDescent="0.3">
      <c r="A60" s="39" t="s">
        <v>288</v>
      </c>
      <c r="B60" s="10" t="s">
        <v>289</v>
      </c>
      <c r="C60" s="10" t="s">
        <v>158</v>
      </c>
      <c r="D60" s="10" t="s">
        <v>123</v>
      </c>
      <c r="E60" s="10" t="s">
        <v>123</v>
      </c>
      <c r="F60" s="10" t="s">
        <v>78</v>
      </c>
      <c r="G60" s="10" t="s">
        <v>80</v>
      </c>
      <c r="H60" s="36" t="s">
        <v>149</v>
      </c>
      <c r="I60" s="10">
        <v>24</v>
      </c>
      <c r="J60" s="10">
        <v>28</v>
      </c>
      <c r="K60" s="10">
        <v>0</v>
      </c>
      <c r="L60" s="7">
        <f t="shared" si="2"/>
        <v>28</v>
      </c>
      <c r="M60" s="37">
        <f t="shared" si="3"/>
        <v>0</v>
      </c>
      <c r="N60" s="28" t="s">
        <v>119</v>
      </c>
      <c r="O60" s="10" t="s">
        <v>155</v>
      </c>
      <c r="P60" s="10"/>
    </row>
    <row r="61" spans="1:16" ht="22.05" customHeight="1" x14ac:dyDescent="0.3">
      <c r="A61" s="35" t="s">
        <v>290</v>
      </c>
      <c r="B61" s="7" t="s">
        <v>291</v>
      </c>
      <c r="C61" s="7" t="s">
        <v>215</v>
      </c>
      <c r="D61" s="7" t="s">
        <v>123</v>
      </c>
      <c r="E61" s="7" t="s">
        <v>123</v>
      </c>
      <c r="F61" s="7" t="s">
        <v>67</v>
      </c>
      <c r="G61" s="7" t="s">
        <v>69</v>
      </c>
      <c r="H61" s="36" t="s">
        <v>149</v>
      </c>
      <c r="I61" s="7">
        <v>12</v>
      </c>
      <c r="J61" s="7">
        <v>16</v>
      </c>
      <c r="K61" s="7">
        <v>0</v>
      </c>
      <c r="L61" s="7">
        <f t="shared" si="2"/>
        <v>16</v>
      </c>
      <c r="M61" s="37">
        <f t="shared" si="3"/>
        <v>0</v>
      </c>
      <c r="N61" s="28" t="s">
        <v>119</v>
      </c>
      <c r="O61" s="7" t="s">
        <v>155</v>
      </c>
      <c r="P61" s="7" t="s">
        <v>292</v>
      </c>
    </row>
    <row r="62" spans="1:16" ht="22.05" customHeight="1" x14ac:dyDescent="0.3">
      <c r="A62" s="39" t="s">
        <v>293</v>
      </c>
      <c r="B62" s="10" t="s">
        <v>294</v>
      </c>
      <c r="C62" s="10" t="s">
        <v>148</v>
      </c>
      <c r="D62" s="10" t="s">
        <v>125</v>
      </c>
      <c r="E62" s="10" t="s">
        <v>125</v>
      </c>
      <c r="F62" s="10" t="s">
        <v>61</v>
      </c>
      <c r="G62" s="10" t="s">
        <v>63</v>
      </c>
      <c r="H62" s="36" t="s">
        <v>149</v>
      </c>
      <c r="I62" s="10">
        <v>32</v>
      </c>
      <c r="J62" s="10">
        <v>36</v>
      </c>
      <c r="K62" s="10">
        <v>0</v>
      </c>
      <c r="L62" s="7">
        <f t="shared" si="2"/>
        <v>36</v>
      </c>
      <c r="M62" s="37">
        <f t="shared" si="3"/>
        <v>0</v>
      </c>
      <c r="N62" s="28" t="s">
        <v>119</v>
      </c>
      <c r="O62" s="10" t="s">
        <v>155</v>
      </c>
      <c r="P62" s="10"/>
    </row>
    <row r="63" spans="1:16" ht="22.05" customHeight="1" x14ac:dyDescent="0.3">
      <c r="A63" s="35" t="s">
        <v>295</v>
      </c>
      <c r="B63" s="7" t="s">
        <v>296</v>
      </c>
      <c r="C63" s="7" t="s">
        <v>148</v>
      </c>
      <c r="D63" s="7" t="s">
        <v>125</v>
      </c>
      <c r="E63" s="7" t="s">
        <v>125</v>
      </c>
      <c r="F63" s="7" t="s">
        <v>93</v>
      </c>
      <c r="G63" s="7" t="s">
        <v>95</v>
      </c>
      <c r="H63" s="36" t="s">
        <v>149</v>
      </c>
      <c r="I63" s="7">
        <v>24</v>
      </c>
      <c r="J63" s="7">
        <v>28</v>
      </c>
      <c r="K63" s="7">
        <v>0</v>
      </c>
      <c r="L63" s="7">
        <f t="shared" si="2"/>
        <v>28</v>
      </c>
      <c r="M63" s="37">
        <f t="shared" si="3"/>
        <v>0</v>
      </c>
      <c r="N63" s="28" t="s">
        <v>119</v>
      </c>
      <c r="O63" s="7" t="s">
        <v>155</v>
      </c>
      <c r="P63" s="7"/>
    </row>
    <row r="64" spans="1:16" ht="22.05" customHeight="1" x14ac:dyDescent="0.3">
      <c r="A64" s="39" t="s">
        <v>297</v>
      </c>
      <c r="B64" s="10" t="s">
        <v>298</v>
      </c>
      <c r="C64" s="10" t="s">
        <v>148</v>
      </c>
      <c r="D64" s="10" t="s">
        <v>125</v>
      </c>
      <c r="E64" s="10" t="s">
        <v>125</v>
      </c>
      <c r="F64" s="10" t="s">
        <v>98</v>
      </c>
      <c r="G64" s="10" t="s">
        <v>100</v>
      </c>
      <c r="H64" s="36" t="s">
        <v>149</v>
      </c>
      <c r="I64" s="10">
        <v>28</v>
      </c>
      <c r="J64" s="10">
        <v>32</v>
      </c>
      <c r="K64" s="10">
        <v>0</v>
      </c>
      <c r="L64" s="7">
        <f t="shared" si="2"/>
        <v>32</v>
      </c>
      <c r="M64" s="37">
        <f t="shared" si="3"/>
        <v>0</v>
      </c>
      <c r="N64" s="28" t="s">
        <v>119</v>
      </c>
      <c r="O64" s="10" t="s">
        <v>155</v>
      </c>
      <c r="P64" s="10"/>
    </row>
    <row r="65" spans="1:16" ht="22.05" customHeight="1" x14ac:dyDescent="0.3">
      <c r="A65" s="35" t="s">
        <v>299</v>
      </c>
      <c r="B65" s="7" t="s">
        <v>300</v>
      </c>
      <c r="C65" s="7" t="s">
        <v>154</v>
      </c>
      <c r="D65" s="7" t="s">
        <v>125</v>
      </c>
      <c r="E65" s="7" t="s">
        <v>125</v>
      </c>
      <c r="F65" s="7" t="s">
        <v>78</v>
      </c>
      <c r="G65" s="7" t="s">
        <v>80</v>
      </c>
      <c r="H65" s="36" t="s">
        <v>149</v>
      </c>
      <c r="I65" s="7">
        <v>16</v>
      </c>
      <c r="J65" s="7">
        <v>16</v>
      </c>
      <c r="K65" s="7">
        <v>0</v>
      </c>
      <c r="L65" s="7">
        <f t="shared" si="2"/>
        <v>16</v>
      </c>
      <c r="M65" s="37">
        <f t="shared" si="3"/>
        <v>0</v>
      </c>
      <c r="N65" s="28" t="s">
        <v>119</v>
      </c>
      <c r="O65" s="7" t="s">
        <v>155</v>
      </c>
      <c r="P65" s="7"/>
    </row>
    <row r="66" spans="1:16" ht="22.05" customHeight="1" x14ac:dyDescent="0.3">
      <c r="A66" s="39" t="s">
        <v>301</v>
      </c>
      <c r="B66" s="10" t="s">
        <v>302</v>
      </c>
      <c r="C66" s="10" t="s">
        <v>154</v>
      </c>
      <c r="D66" s="10" t="s">
        <v>125</v>
      </c>
      <c r="E66" s="10" t="s">
        <v>125</v>
      </c>
      <c r="F66" s="10" t="s">
        <v>61</v>
      </c>
      <c r="G66" s="10" t="s">
        <v>63</v>
      </c>
      <c r="H66" s="41" t="s">
        <v>164</v>
      </c>
      <c r="I66" s="10">
        <v>12</v>
      </c>
      <c r="J66" s="10">
        <v>12</v>
      </c>
      <c r="K66" s="10">
        <v>0</v>
      </c>
      <c r="L66" s="7">
        <f t="shared" si="2"/>
        <v>12</v>
      </c>
      <c r="M66" s="37">
        <f t="shared" si="3"/>
        <v>0</v>
      </c>
      <c r="N66" s="28" t="s">
        <v>119</v>
      </c>
      <c r="O66" s="10" t="s">
        <v>155</v>
      </c>
      <c r="P66" s="10"/>
    </row>
    <row r="67" spans="1:16" ht="22.05" customHeight="1" x14ac:dyDescent="0.3">
      <c r="A67" s="35" t="s">
        <v>303</v>
      </c>
      <c r="B67" s="7" t="s">
        <v>304</v>
      </c>
      <c r="C67" s="7" t="s">
        <v>154</v>
      </c>
      <c r="D67" s="7" t="s">
        <v>125</v>
      </c>
      <c r="E67" s="7" t="s">
        <v>125</v>
      </c>
      <c r="F67" s="7" t="s">
        <v>93</v>
      </c>
      <c r="G67" s="7" t="s">
        <v>95</v>
      </c>
      <c r="H67" s="42" t="s">
        <v>178</v>
      </c>
      <c r="I67" s="7">
        <v>8</v>
      </c>
      <c r="J67" s="7">
        <v>8</v>
      </c>
      <c r="K67" s="7">
        <v>0</v>
      </c>
      <c r="L67" s="7">
        <f t="shared" ref="L67:L98" si="4">MAX(0,J67-K67)</f>
        <v>8</v>
      </c>
      <c r="M67" s="37">
        <f t="shared" ref="M67:M98" si="5">IF(J67=0,0,MIN(1,(J67-L67)/J67))</f>
        <v>0</v>
      </c>
      <c r="N67" s="28" t="s">
        <v>119</v>
      </c>
      <c r="O67" s="7" t="s">
        <v>155</v>
      </c>
      <c r="P67" s="7"/>
    </row>
    <row r="69" spans="1:16" x14ac:dyDescent="0.3">
      <c r="A69" s="45" t="s">
        <v>305</v>
      </c>
      <c r="I69" s="46">
        <f>SUM(I3:I67)</f>
        <v>1426</v>
      </c>
      <c r="J69" s="46">
        <f>SUM(J3:J67)</f>
        <v>1628</v>
      </c>
      <c r="K69" s="46">
        <f>SUM(K3:K67)</f>
        <v>964</v>
      </c>
      <c r="L69" s="46">
        <f>SUM(L3:L67)</f>
        <v>722</v>
      </c>
    </row>
  </sheetData>
  <mergeCells count="1">
    <mergeCell ref="A1:O1"/>
  </mergeCells>
  <conditionalFormatting sqref="H3:H69">
    <cfRule type="expression" dxfId="12" priority="6">
      <formula>H3="Critical"</formula>
    </cfRule>
    <cfRule type="expression" dxfId="11" priority="7">
      <formula>H3="High"</formula>
    </cfRule>
    <cfRule type="expression" dxfId="10" priority="8">
      <formula>H3="Medium"</formula>
    </cfRule>
    <cfRule type="expression" dxfId="9" priority="9">
      <formula>H3="Low"</formula>
    </cfRule>
  </conditionalFormatting>
  <conditionalFormatting sqref="N3:N69">
    <cfRule type="expression" dxfId="8" priority="1">
      <formula>N3="Completed"</formula>
    </cfRule>
    <cfRule type="expression" dxfId="7" priority="2">
      <formula>N3="In Progress"</formula>
    </cfRule>
    <cfRule type="expression" dxfId="6" priority="3">
      <formula>N3="Blocked"</formula>
    </cfRule>
    <cfRule type="expression" dxfId="5" priority="4">
      <formula>N3="Deferred"</formula>
    </cfRule>
    <cfRule type="expression" dxfId="4" priority="5">
      <formula>N3="Not Started"</formula>
    </cfRule>
  </conditionalFormatting>
  <dataValidations count="11">
    <dataValidation type="list" allowBlank="1" showInputMessage="1" showErrorMessage="1" sqref="N3:N67" xr:uid="{00000000-0002-0000-0300-000000000000}">
      <formula1>"Not Started,In Progress,Blocked,Completed,Deferred"</formula1>
    </dataValidation>
    <dataValidation type="list" allowBlank="1" showInputMessage="1" showErrorMessage="1" sqref="O3:O67" xr:uid="{00000000-0002-0000-0300-000001000000}">
      <formula1>"Yes,No"</formula1>
    </dataValidation>
    <dataValidation type="list" allowBlank="1" showInputMessage="1" showErrorMessage="1" sqref="H3:H67" xr:uid="{00000000-0002-0000-0300-000002000000}">
      <formula1>"Critical,High,Medium,Low"</formula1>
    </dataValidation>
    <dataValidation type="list" allowBlank="1" sqref="C3:C69" xr:uid="{00000000-0002-0000-0300-000003000000}">
      <formula1>WorkItemType</formula1>
    </dataValidation>
    <dataValidation type="list" allowBlank="1" sqref="D3:D69" xr:uid="{00000000-0002-0000-0300-000004000000}">
      <formula1>Sprints</formula1>
    </dataValidation>
    <dataValidation type="list" allowBlank="1" sqref="F3:F69" xr:uid="{00000000-0002-0000-0300-000005000000}">
      <formula1>Owners</formula1>
    </dataValidation>
    <dataValidation type="list" allowBlank="1" sqref="G3:G69" xr:uid="{00000000-0002-0000-0300-000006000000}">
      <formula1>Skills</formula1>
    </dataValidation>
    <dataValidation type="list" allowBlank="1" sqref="H3:H69" xr:uid="{00000000-0002-0000-0300-000007000000}">
      <formula1>Priority</formula1>
    </dataValidation>
    <dataValidation type="list" allowBlank="1" sqref="N3:N69" xr:uid="{00000000-0002-0000-0300-000008000000}">
      <formula1>WorkItemStatus</formula1>
    </dataValidation>
    <dataValidation type="list" allowBlank="1" sqref="O3:O69" xr:uid="{00000000-0002-0000-0300-000009000000}">
      <formula1>YesNo</formula1>
    </dataValidation>
    <dataValidation type="list" allowBlank="1" sqref="P3:P69" xr:uid="{00000000-0002-0000-0300-00000A000000}">
      <formula1>ScopeReason</formula1>
    </dataValidation>
  </dataValidations>
  <pageMargins left="0.75" right="0.75" top="1" bottom="1" header="0.5" footer="0.5"/>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25"/>
  <sheetViews>
    <sheetView workbookViewId="0">
      <pane ySplit="2" topLeftCell="A3" activePane="bottomLeft" state="frozen"/>
      <selection pane="bottomLeft" activeCell="D4" sqref="D4"/>
    </sheetView>
  </sheetViews>
  <sheetFormatPr defaultRowHeight="14.4" x14ac:dyDescent="0.3"/>
  <cols>
    <col min="1" max="1" width="9" customWidth="1"/>
    <col min="2" max="3" width="11" customWidth="1"/>
    <col min="4" max="4" width="16" customWidth="1"/>
    <col min="5" max="5" width="12" customWidth="1"/>
    <col min="6" max="6" width="13.33203125" customWidth="1"/>
    <col min="7" max="7" width="65" customWidth="1"/>
  </cols>
  <sheetData>
    <row r="1" spans="1:7" ht="28.05" customHeight="1" thickBot="1" x14ac:dyDescent="0.35">
      <c r="A1" s="63" t="s">
        <v>306</v>
      </c>
      <c r="B1" s="64"/>
      <c r="C1" s="64"/>
      <c r="D1" s="64"/>
      <c r="E1" s="64"/>
      <c r="F1" s="64"/>
      <c r="G1" s="64"/>
    </row>
    <row r="2" spans="1:7" ht="22.05" customHeight="1" thickBot="1" x14ac:dyDescent="0.35">
      <c r="A2" s="1" t="s">
        <v>307</v>
      </c>
      <c r="B2" s="1" t="s">
        <v>308</v>
      </c>
      <c r="C2" s="1" t="s">
        <v>309</v>
      </c>
      <c r="D2" s="1" t="s">
        <v>310</v>
      </c>
      <c r="E2" s="1" t="s">
        <v>311</v>
      </c>
      <c r="F2" s="1" t="s">
        <v>312</v>
      </c>
      <c r="G2" s="1" t="s">
        <v>11</v>
      </c>
    </row>
    <row r="3" spans="1:7" ht="30" customHeight="1" x14ac:dyDescent="0.3">
      <c r="A3" s="7" t="s">
        <v>313</v>
      </c>
      <c r="B3" s="47" t="s">
        <v>156</v>
      </c>
      <c r="C3" s="47" t="s">
        <v>146</v>
      </c>
      <c r="D3" s="7" t="s">
        <v>314</v>
      </c>
      <c r="E3" s="48" t="s">
        <v>155</v>
      </c>
      <c r="F3" s="48">
        <v>0</v>
      </c>
      <c r="G3" s="7" t="s">
        <v>315</v>
      </c>
    </row>
    <row r="4" spans="1:7" ht="30" customHeight="1" x14ac:dyDescent="0.3">
      <c r="A4" s="10" t="s">
        <v>316</v>
      </c>
      <c r="B4" s="49" t="s">
        <v>159</v>
      </c>
      <c r="C4" s="49" t="s">
        <v>146</v>
      </c>
      <c r="D4" s="10" t="s">
        <v>314</v>
      </c>
      <c r="E4" s="50" t="s">
        <v>155</v>
      </c>
      <c r="F4" s="50">
        <v>0</v>
      </c>
      <c r="G4" s="10" t="s">
        <v>317</v>
      </c>
    </row>
    <row r="5" spans="1:7" ht="30" customHeight="1" x14ac:dyDescent="0.3">
      <c r="A5" s="7" t="s">
        <v>318</v>
      </c>
      <c r="B5" s="47" t="s">
        <v>179</v>
      </c>
      <c r="C5" s="47" t="s">
        <v>156</v>
      </c>
      <c r="D5" s="7" t="s">
        <v>314</v>
      </c>
      <c r="E5" s="51" t="s">
        <v>150</v>
      </c>
      <c r="F5" s="48">
        <v>0</v>
      </c>
      <c r="G5" s="7" t="s">
        <v>319</v>
      </c>
    </row>
    <row r="6" spans="1:7" ht="30" customHeight="1" x14ac:dyDescent="0.3">
      <c r="A6" s="10" t="s">
        <v>320</v>
      </c>
      <c r="B6" s="49" t="s">
        <v>185</v>
      </c>
      <c r="C6" s="49" t="s">
        <v>156</v>
      </c>
      <c r="D6" s="10" t="s">
        <v>314</v>
      </c>
      <c r="E6" s="50" t="s">
        <v>155</v>
      </c>
      <c r="F6" s="50">
        <v>0</v>
      </c>
      <c r="G6" s="10" t="s">
        <v>321</v>
      </c>
    </row>
    <row r="7" spans="1:7" ht="30" customHeight="1" x14ac:dyDescent="0.3">
      <c r="A7" s="7" t="s">
        <v>322</v>
      </c>
      <c r="B7" s="47" t="s">
        <v>198</v>
      </c>
      <c r="C7" s="47" t="s">
        <v>179</v>
      </c>
      <c r="D7" s="7" t="s">
        <v>314</v>
      </c>
      <c r="E7" s="51" t="s">
        <v>150</v>
      </c>
      <c r="F7" s="48">
        <v>0</v>
      </c>
      <c r="G7" s="7" t="s">
        <v>323</v>
      </c>
    </row>
    <row r="8" spans="1:7" ht="30" customHeight="1" x14ac:dyDescent="0.3">
      <c r="A8" s="10" t="s">
        <v>324</v>
      </c>
      <c r="B8" s="49" t="s">
        <v>209</v>
      </c>
      <c r="C8" s="49" t="s">
        <v>205</v>
      </c>
      <c r="D8" s="10" t="s">
        <v>314</v>
      </c>
      <c r="E8" s="50" t="s">
        <v>155</v>
      </c>
      <c r="F8" s="50">
        <v>0</v>
      </c>
      <c r="G8" s="10" t="s">
        <v>325</v>
      </c>
    </row>
    <row r="9" spans="1:7" ht="30" customHeight="1" x14ac:dyDescent="0.3">
      <c r="A9" s="7" t="s">
        <v>326</v>
      </c>
      <c r="B9" s="47" t="s">
        <v>221</v>
      </c>
      <c r="C9" s="47" t="s">
        <v>159</v>
      </c>
      <c r="D9" s="7" t="s">
        <v>314</v>
      </c>
      <c r="E9" s="51" t="s">
        <v>150</v>
      </c>
      <c r="F9" s="48">
        <v>0</v>
      </c>
      <c r="G9" s="7" t="s">
        <v>327</v>
      </c>
    </row>
    <row r="10" spans="1:7" ht="30" customHeight="1" x14ac:dyDescent="0.3">
      <c r="A10" s="10" t="s">
        <v>328</v>
      </c>
      <c r="B10" s="49" t="s">
        <v>226</v>
      </c>
      <c r="C10" s="49" t="s">
        <v>198</v>
      </c>
      <c r="D10" s="10" t="s">
        <v>314</v>
      </c>
      <c r="E10" s="50" t="s">
        <v>155</v>
      </c>
      <c r="F10" s="50">
        <v>0</v>
      </c>
      <c r="G10" s="10" t="s">
        <v>329</v>
      </c>
    </row>
    <row r="11" spans="1:7" ht="30" customHeight="1" x14ac:dyDescent="0.3">
      <c r="A11" s="7" t="s">
        <v>330</v>
      </c>
      <c r="B11" s="47" t="s">
        <v>250</v>
      </c>
      <c r="C11" s="47" t="s">
        <v>221</v>
      </c>
      <c r="D11" s="7" t="s">
        <v>314</v>
      </c>
      <c r="E11" s="51" t="s">
        <v>150</v>
      </c>
      <c r="F11" s="52">
        <v>1</v>
      </c>
      <c r="G11" s="7" t="s">
        <v>331</v>
      </c>
    </row>
    <row r="12" spans="1:7" ht="30" customHeight="1" x14ac:dyDescent="0.3">
      <c r="A12" s="53" t="s">
        <v>332</v>
      </c>
      <c r="B12" s="49" t="s">
        <v>254</v>
      </c>
      <c r="C12" s="49" t="s">
        <v>252</v>
      </c>
      <c r="D12" s="10" t="s">
        <v>314</v>
      </c>
      <c r="E12" s="51" t="s">
        <v>150</v>
      </c>
      <c r="F12" s="52">
        <v>2</v>
      </c>
      <c r="G12" s="10" t="s">
        <v>333</v>
      </c>
    </row>
    <row r="13" spans="1:7" ht="30" customHeight="1" x14ac:dyDescent="0.3">
      <c r="A13" s="7" t="s">
        <v>334</v>
      </c>
      <c r="B13" s="47" t="s">
        <v>265</v>
      </c>
      <c r="C13" s="47" t="s">
        <v>254</v>
      </c>
      <c r="D13" s="7" t="s">
        <v>314</v>
      </c>
      <c r="E13" s="51" t="s">
        <v>150</v>
      </c>
      <c r="F13" s="52">
        <v>2</v>
      </c>
      <c r="G13" s="7" t="s">
        <v>335</v>
      </c>
    </row>
    <row r="14" spans="1:7" ht="30" customHeight="1" x14ac:dyDescent="0.3">
      <c r="A14" s="10" t="s">
        <v>336</v>
      </c>
      <c r="B14" s="49" t="s">
        <v>272</v>
      </c>
      <c r="C14" s="49" t="s">
        <v>265</v>
      </c>
      <c r="D14" s="10" t="s">
        <v>314</v>
      </c>
      <c r="E14" s="50" t="s">
        <v>155</v>
      </c>
      <c r="F14" s="52">
        <v>1</v>
      </c>
      <c r="G14" s="10" t="s">
        <v>337</v>
      </c>
    </row>
    <row r="15" spans="1:7" ht="30" customHeight="1" x14ac:dyDescent="0.3">
      <c r="A15" s="7" t="s">
        <v>338</v>
      </c>
      <c r="B15" s="47" t="s">
        <v>281</v>
      </c>
      <c r="C15" s="47" t="s">
        <v>276</v>
      </c>
      <c r="D15" s="7" t="s">
        <v>314</v>
      </c>
      <c r="E15" s="51" t="s">
        <v>150</v>
      </c>
      <c r="F15" s="52">
        <v>1</v>
      </c>
      <c r="G15" s="7" t="s">
        <v>339</v>
      </c>
    </row>
    <row r="16" spans="1:7" ht="30" customHeight="1" x14ac:dyDescent="0.3">
      <c r="A16" s="10" t="s">
        <v>340</v>
      </c>
      <c r="B16" s="49" t="s">
        <v>293</v>
      </c>
      <c r="C16" s="49" t="s">
        <v>281</v>
      </c>
      <c r="D16" s="10" t="s">
        <v>314</v>
      </c>
      <c r="E16" s="51" t="s">
        <v>150</v>
      </c>
      <c r="F16" s="50">
        <v>0</v>
      </c>
      <c r="G16" s="10" t="s">
        <v>341</v>
      </c>
    </row>
    <row r="17" spans="1:7" ht="30" customHeight="1" x14ac:dyDescent="0.3">
      <c r="A17" s="7" t="s">
        <v>342</v>
      </c>
      <c r="B17" s="47" t="s">
        <v>218</v>
      </c>
      <c r="C17" s="47" t="s">
        <v>209</v>
      </c>
      <c r="D17" s="7" t="s">
        <v>314</v>
      </c>
      <c r="E17" s="48" t="s">
        <v>155</v>
      </c>
      <c r="F17" s="48">
        <v>0</v>
      </c>
      <c r="G17" s="7" t="s">
        <v>343</v>
      </c>
    </row>
    <row r="18" spans="1:7" ht="30" customHeight="1" x14ac:dyDescent="0.3">
      <c r="A18" s="10" t="s">
        <v>344</v>
      </c>
      <c r="B18" s="49" t="s">
        <v>230</v>
      </c>
      <c r="C18" s="49" t="s">
        <v>185</v>
      </c>
      <c r="D18" s="10" t="s">
        <v>314</v>
      </c>
      <c r="E18" s="50" t="s">
        <v>155</v>
      </c>
      <c r="F18" s="50">
        <v>0</v>
      </c>
      <c r="G18" s="10" t="s">
        <v>345</v>
      </c>
    </row>
    <row r="19" spans="1:7" ht="30" customHeight="1" x14ac:dyDescent="0.3">
      <c r="A19" s="7" t="s">
        <v>346</v>
      </c>
      <c r="B19" s="47" t="s">
        <v>246</v>
      </c>
      <c r="C19" s="47" t="s">
        <v>230</v>
      </c>
      <c r="D19" s="7" t="s">
        <v>314</v>
      </c>
      <c r="E19" s="51" t="s">
        <v>150</v>
      </c>
      <c r="F19" s="48">
        <v>0</v>
      </c>
      <c r="G19" s="7" t="s">
        <v>347</v>
      </c>
    </row>
    <row r="20" spans="1:7" ht="30" customHeight="1" x14ac:dyDescent="0.3">
      <c r="A20" s="10" t="s">
        <v>348</v>
      </c>
      <c r="B20" s="49" t="s">
        <v>284</v>
      </c>
      <c r="C20" s="49" t="s">
        <v>265</v>
      </c>
      <c r="D20" s="10" t="s">
        <v>314</v>
      </c>
      <c r="E20" s="50" t="s">
        <v>155</v>
      </c>
      <c r="F20" s="52">
        <v>1</v>
      </c>
      <c r="G20" s="10" t="s">
        <v>349</v>
      </c>
    </row>
    <row r="21" spans="1:7" ht="30" customHeight="1" x14ac:dyDescent="0.3">
      <c r="A21" s="7" t="s">
        <v>350</v>
      </c>
      <c r="B21" s="47" t="s">
        <v>268</v>
      </c>
      <c r="C21" s="47" t="s">
        <v>279</v>
      </c>
      <c r="D21" s="7" t="s">
        <v>314</v>
      </c>
      <c r="E21" s="48" t="s">
        <v>155</v>
      </c>
      <c r="F21" s="48">
        <v>0</v>
      </c>
      <c r="G21" s="7" t="s">
        <v>351</v>
      </c>
    </row>
    <row r="22" spans="1:7" ht="30" customHeight="1" x14ac:dyDescent="0.3">
      <c r="A22" s="10" t="s">
        <v>352</v>
      </c>
      <c r="B22" s="49" t="s">
        <v>286</v>
      </c>
      <c r="C22" s="49" t="s">
        <v>281</v>
      </c>
      <c r="D22" s="10" t="s">
        <v>314</v>
      </c>
      <c r="E22" s="50" t="s">
        <v>155</v>
      </c>
      <c r="F22" s="50">
        <v>0</v>
      </c>
      <c r="G22" s="10" t="s">
        <v>353</v>
      </c>
    </row>
    <row r="23" spans="1:7" ht="30" customHeight="1" x14ac:dyDescent="0.3">
      <c r="A23" s="7" t="s">
        <v>354</v>
      </c>
      <c r="B23" s="47" t="s">
        <v>297</v>
      </c>
      <c r="C23" s="47" t="s">
        <v>270</v>
      </c>
      <c r="D23" s="7" t="s">
        <v>314</v>
      </c>
      <c r="E23" s="51" t="s">
        <v>150</v>
      </c>
      <c r="F23" s="52">
        <v>1</v>
      </c>
      <c r="G23" s="7" t="s">
        <v>355</v>
      </c>
    </row>
    <row r="24" spans="1:7" ht="30" customHeight="1" x14ac:dyDescent="0.3">
      <c r="A24" s="10" t="s">
        <v>356</v>
      </c>
      <c r="B24" s="49" t="s">
        <v>256</v>
      </c>
      <c r="C24" s="49" t="s">
        <v>252</v>
      </c>
      <c r="D24" s="10" t="s">
        <v>314</v>
      </c>
      <c r="E24" s="50" t="s">
        <v>155</v>
      </c>
      <c r="F24" s="50">
        <v>0</v>
      </c>
      <c r="G24" s="10" t="s">
        <v>357</v>
      </c>
    </row>
    <row r="25" spans="1:7" ht="30" customHeight="1" x14ac:dyDescent="0.3">
      <c r="A25" s="7" t="s">
        <v>358</v>
      </c>
      <c r="B25" s="47" t="s">
        <v>288</v>
      </c>
      <c r="C25" s="47" t="s">
        <v>284</v>
      </c>
      <c r="D25" s="7" t="s">
        <v>314</v>
      </c>
      <c r="E25" s="48" t="s">
        <v>155</v>
      </c>
      <c r="F25" s="48">
        <v>0</v>
      </c>
      <c r="G25" s="7" t="s">
        <v>359</v>
      </c>
    </row>
  </sheetData>
  <mergeCells count="1">
    <mergeCell ref="A1:G1"/>
  </mergeCells>
  <dataValidations count="2">
    <dataValidation type="list" allowBlank="1" sqref="D3:D25" xr:uid="{00000000-0002-0000-0400-000000000000}">
      <formula1>DependencyType</formula1>
    </dataValidation>
    <dataValidation type="list" allowBlank="1" sqref="E3:E25" xr:uid="{00000000-0002-0000-0400-000001000000}">
      <formula1>YesNo</formula1>
    </dataValidation>
  </dataValidations>
  <hyperlinks>
    <hyperlink ref="B3" location="Work_Items!A5" display="WI-003" xr:uid="{00000000-0004-0000-0400-000000000000}"/>
    <hyperlink ref="C3" location="Work_Items!A3" display="WI-001" xr:uid="{00000000-0004-0000-0400-000001000000}"/>
    <hyperlink ref="B4" location="Work_Items!A6" display="WI-004" xr:uid="{00000000-0004-0000-0400-000002000000}"/>
    <hyperlink ref="C4" location="Work_Items!A3" display="WI-001" xr:uid="{00000000-0004-0000-0400-000003000000}"/>
    <hyperlink ref="B5" location="Work_Items!A13" display="WI-011" xr:uid="{00000000-0004-0000-0400-000004000000}"/>
    <hyperlink ref="C5" location="Work_Items!A5" display="WI-003" xr:uid="{00000000-0004-0000-0400-000005000000}"/>
    <hyperlink ref="B6" location="Work_Items!A15" display="WI-013" xr:uid="{00000000-0004-0000-0400-000006000000}"/>
    <hyperlink ref="C6" location="Work_Items!A5" display="WI-003" xr:uid="{00000000-0004-0000-0400-000007000000}"/>
    <hyperlink ref="B7" location="Work_Items!A21" display="WI-019" xr:uid="{00000000-0004-0000-0400-000008000000}"/>
    <hyperlink ref="C7" location="Work_Items!A13" display="WI-011" xr:uid="{00000000-0004-0000-0400-000009000000}"/>
    <hyperlink ref="B8" location="Work_Items!A26" display="WI-024" xr:uid="{00000000-0004-0000-0400-00000A000000}"/>
    <hyperlink ref="C8" location="Work_Items!A24" display="WI-022" xr:uid="{00000000-0004-0000-0400-00000B000000}"/>
    <hyperlink ref="B9" location="Work_Items!A31" display="WI-029" xr:uid="{00000000-0004-0000-0400-00000C000000}"/>
    <hyperlink ref="C9" location="Work_Items!A6" display="WI-004" xr:uid="{00000000-0004-0000-0400-00000D000000}"/>
    <hyperlink ref="B10" location="Work_Items!A33" display="WI-031" xr:uid="{00000000-0004-0000-0400-00000E000000}"/>
    <hyperlink ref="C10" location="Work_Items!A21" display="WI-019" xr:uid="{00000000-0004-0000-0400-00000F000000}"/>
    <hyperlink ref="B11" location="Work_Items!A43" display="WI-041" xr:uid="{00000000-0004-0000-0400-000010000000}"/>
    <hyperlink ref="C11" location="Work_Items!A31" display="WI-029" xr:uid="{00000000-0004-0000-0400-000011000000}"/>
    <hyperlink ref="B12" location="Work_Items!A45" display="WI-043" xr:uid="{00000000-0004-0000-0400-000012000000}"/>
    <hyperlink ref="C12" location="Work_Items!A44" display="WI-042" xr:uid="{00000000-0004-0000-0400-000013000000}"/>
    <hyperlink ref="B13" location="Work_Items!A50" display="WI-048" xr:uid="{00000000-0004-0000-0400-000014000000}"/>
    <hyperlink ref="C13" location="Work_Items!A45" display="WI-043" xr:uid="{00000000-0004-0000-0400-000015000000}"/>
    <hyperlink ref="B14" location="Work_Items!A53" display="WI-051" xr:uid="{00000000-0004-0000-0400-000016000000}"/>
    <hyperlink ref="C14" location="Work_Items!A50" display="WI-048" xr:uid="{00000000-0004-0000-0400-000017000000}"/>
    <hyperlink ref="B15" location="Work_Items!A57" display="WI-055" xr:uid="{00000000-0004-0000-0400-000018000000}"/>
    <hyperlink ref="C15" location="Work_Items!A55" display="WI-053" xr:uid="{00000000-0004-0000-0400-000019000000}"/>
    <hyperlink ref="B16" location="Work_Items!A62" display="WI-060" xr:uid="{00000000-0004-0000-0400-00001A000000}"/>
    <hyperlink ref="C16" location="Work_Items!A57" display="WI-055" xr:uid="{00000000-0004-0000-0400-00001B000000}"/>
    <hyperlink ref="B17" location="Work_Items!A30" display="WI-028" xr:uid="{00000000-0004-0000-0400-00001C000000}"/>
    <hyperlink ref="C17" location="Work_Items!A26" display="WI-024" xr:uid="{00000000-0004-0000-0400-00001D000000}"/>
    <hyperlink ref="B18" location="Work_Items!A35" display="WI-033" xr:uid="{00000000-0004-0000-0400-00001E000000}"/>
    <hyperlink ref="C18" location="Work_Items!A15" display="WI-013" xr:uid="{00000000-0004-0000-0400-00001F000000}"/>
    <hyperlink ref="B19" location="Work_Items!A42" display="WI-040" xr:uid="{00000000-0004-0000-0400-000020000000}"/>
    <hyperlink ref="C19" location="Work_Items!A35" display="WI-033" xr:uid="{00000000-0004-0000-0400-000021000000}"/>
    <hyperlink ref="B20" location="Work_Items!A58" display="WI-056" xr:uid="{00000000-0004-0000-0400-000022000000}"/>
    <hyperlink ref="C20" location="Work_Items!A50" display="WI-048" xr:uid="{00000000-0004-0000-0400-000023000000}"/>
    <hyperlink ref="B21" location="Work_Items!A51" display="WI-049" xr:uid="{00000000-0004-0000-0400-000024000000}"/>
    <hyperlink ref="C21" location="Work_Items!A56" display="WI-054" xr:uid="{00000000-0004-0000-0400-000025000000}"/>
    <hyperlink ref="B22" location="Work_Items!A59" display="WI-057" xr:uid="{00000000-0004-0000-0400-000026000000}"/>
    <hyperlink ref="C22" location="Work_Items!A57" display="WI-055" xr:uid="{00000000-0004-0000-0400-000027000000}"/>
    <hyperlink ref="B23" location="Work_Items!A64" display="WI-062" xr:uid="{00000000-0004-0000-0400-000028000000}"/>
    <hyperlink ref="C23" location="Work_Items!A52" display="WI-050" xr:uid="{00000000-0004-0000-0400-000029000000}"/>
    <hyperlink ref="B24" location="Work_Items!A46" display="WI-044" xr:uid="{00000000-0004-0000-0400-00002A000000}"/>
    <hyperlink ref="C24" location="Work_Items!A44" display="WI-042" xr:uid="{00000000-0004-0000-0400-00002B000000}"/>
    <hyperlink ref="B25" location="Work_Items!A60" display="WI-058" xr:uid="{00000000-0004-0000-0400-00002C000000}"/>
    <hyperlink ref="C25" location="Work_Items!A58" display="WI-056" xr:uid="{00000000-0004-0000-0400-00002D000000}"/>
  </hyperlink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7"/>
  <sheetViews>
    <sheetView workbookViewId="0">
      <pane ySplit="2" topLeftCell="A3" activePane="bottomLeft" state="frozen"/>
      <selection pane="bottomLeft" activeCell="D3" sqref="D3"/>
    </sheetView>
  </sheetViews>
  <sheetFormatPr defaultRowHeight="14.4" x14ac:dyDescent="0.3"/>
  <cols>
    <col min="1" max="1" width="10" customWidth="1"/>
    <col min="2" max="2" width="11" customWidth="1"/>
    <col min="3" max="3" width="28" customWidth="1"/>
    <col min="4" max="5" width="10" customWidth="1"/>
    <col min="6" max="6" width="22" customWidth="1"/>
    <col min="7" max="9" width="13" customWidth="1"/>
    <col min="10" max="10" width="75" customWidth="1"/>
  </cols>
  <sheetData>
    <row r="1" spans="1:10" ht="28.05" customHeight="1" x14ac:dyDescent="0.3">
      <c r="A1" s="63" t="s">
        <v>360</v>
      </c>
      <c r="B1" s="64"/>
      <c r="C1" s="64"/>
      <c r="D1" s="64"/>
      <c r="E1" s="64"/>
      <c r="F1" s="64"/>
      <c r="G1" s="64"/>
      <c r="H1" s="64"/>
      <c r="I1" s="64"/>
      <c r="J1" s="64"/>
    </row>
    <row r="2" spans="1:10" ht="31.2" customHeight="1" x14ac:dyDescent="0.3">
      <c r="A2" s="1" t="s">
        <v>361</v>
      </c>
      <c r="B2" s="1" t="s">
        <v>362</v>
      </c>
      <c r="C2" s="1" t="s">
        <v>363</v>
      </c>
      <c r="D2" s="1" t="s">
        <v>364</v>
      </c>
      <c r="E2" s="1" t="s">
        <v>30</v>
      </c>
      <c r="F2" s="1" t="s">
        <v>136</v>
      </c>
      <c r="G2" s="1" t="s">
        <v>365</v>
      </c>
      <c r="H2" s="1" t="s">
        <v>366</v>
      </c>
      <c r="I2" s="1" t="s">
        <v>367</v>
      </c>
      <c r="J2" s="1" t="s">
        <v>368</v>
      </c>
    </row>
    <row r="3" spans="1:10" ht="75" customHeight="1" x14ac:dyDescent="0.3">
      <c r="A3" s="7" t="s">
        <v>369</v>
      </c>
      <c r="B3" s="47" t="s">
        <v>202</v>
      </c>
      <c r="C3" s="7" t="s">
        <v>370</v>
      </c>
      <c r="D3" s="54" t="s">
        <v>371</v>
      </c>
      <c r="E3" s="44" t="s">
        <v>372</v>
      </c>
      <c r="F3" s="7" t="s">
        <v>73</v>
      </c>
      <c r="G3" s="55">
        <v>45705</v>
      </c>
      <c r="H3" s="55">
        <v>45730</v>
      </c>
      <c r="I3" s="48" t="s">
        <v>372</v>
      </c>
      <c r="J3" s="7" t="s">
        <v>373</v>
      </c>
    </row>
    <row r="4" spans="1:10" ht="75" customHeight="1" x14ac:dyDescent="0.3">
      <c r="A4" s="10" t="s">
        <v>374</v>
      </c>
      <c r="B4" s="49" t="s">
        <v>238</v>
      </c>
      <c r="C4" s="10" t="s">
        <v>375</v>
      </c>
      <c r="D4" s="36" t="s">
        <v>149</v>
      </c>
      <c r="E4" s="44" t="s">
        <v>372</v>
      </c>
      <c r="F4" s="10" t="s">
        <v>78</v>
      </c>
      <c r="G4" s="56">
        <v>45719</v>
      </c>
      <c r="H4" s="56">
        <v>45733</v>
      </c>
      <c r="I4" s="50" t="s">
        <v>372</v>
      </c>
      <c r="J4" s="10" t="s">
        <v>376</v>
      </c>
    </row>
    <row r="5" spans="1:10" ht="75" customHeight="1" x14ac:dyDescent="0.3">
      <c r="A5" s="7" t="s">
        <v>377</v>
      </c>
      <c r="B5" s="47" t="s">
        <v>250</v>
      </c>
      <c r="C5" s="7" t="s">
        <v>378</v>
      </c>
      <c r="D5" s="54" t="s">
        <v>371</v>
      </c>
      <c r="E5" s="44" t="s">
        <v>372</v>
      </c>
      <c r="F5" s="7" t="s">
        <v>88</v>
      </c>
      <c r="G5" s="55">
        <v>45716</v>
      </c>
      <c r="H5" s="55">
        <v>45736</v>
      </c>
      <c r="I5" s="48" t="s">
        <v>372</v>
      </c>
      <c r="J5" s="7" t="s">
        <v>379</v>
      </c>
    </row>
    <row r="6" spans="1:10" ht="75" customHeight="1" x14ac:dyDescent="0.3">
      <c r="A6" s="10" t="s">
        <v>380</v>
      </c>
      <c r="B6" s="49" t="s">
        <v>265</v>
      </c>
      <c r="C6" s="10" t="s">
        <v>381</v>
      </c>
      <c r="D6" s="36" t="s">
        <v>149</v>
      </c>
      <c r="E6" s="44" t="s">
        <v>372</v>
      </c>
      <c r="F6" s="10" t="s">
        <v>98</v>
      </c>
      <c r="G6" s="56">
        <v>45719</v>
      </c>
      <c r="H6" s="56">
        <v>45747</v>
      </c>
      <c r="I6" s="50" t="s">
        <v>372</v>
      </c>
      <c r="J6" s="10" t="s">
        <v>382</v>
      </c>
    </row>
    <row r="7" spans="1:10" ht="75" customHeight="1" x14ac:dyDescent="0.3">
      <c r="A7" s="7" t="s">
        <v>383</v>
      </c>
      <c r="B7" s="47" t="s">
        <v>276</v>
      </c>
      <c r="C7" s="7" t="s">
        <v>384</v>
      </c>
      <c r="D7" s="41" t="s">
        <v>164</v>
      </c>
      <c r="E7" s="44" t="s">
        <v>372</v>
      </c>
      <c r="F7" s="7" t="s">
        <v>83</v>
      </c>
      <c r="G7" s="55">
        <v>45726</v>
      </c>
      <c r="H7" s="55">
        <v>45754</v>
      </c>
      <c r="I7" s="48" t="s">
        <v>372</v>
      </c>
      <c r="J7" s="7" t="s">
        <v>385</v>
      </c>
    </row>
  </sheetData>
  <mergeCells count="1">
    <mergeCell ref="A1:J1"/>
  </mergeCells>
  <conditionalFormatting sqref="D3:D7">
    <cfRule type="expression" dxfId="3" priority="1">
      <formula>D3="Critical"</formula>
    </cfRule>
    <cfRule type="expression" dxfId="2" priority="2">
      <formula>D3="High"</formula>
    </cfRule>
    <cfRule type="expression" dxfId="1" priority="3">
      <formula>D3="Medium"</formula>
    </cfRule>
    <cfRule type="expression" dxfId="0" priority="4">
      <formula>D3="Low"</formula>
    </cfRule>
  </conditionalFormatting>
  <dataValidations count="2">
    <dataValidation type="list" allowBlank="1" sqref="D3:D7" xr:uid="{00000000-0002-0000-0500-000000000000}">
      <formula1>Severity</formula1>
    </dataValidation>
    <dataValidation type="list" allowBlank="1" sqref="E3:E7" xr:uid="{00000000-0002-0000-0500-000001000000}">
      <formula1>BlockerStatus</formula1>
    </dataValidation>
  </dataValidations>
  <hyperlinks>
    <hyperlink ref="B3" location="Work_Items!A23" display="WI-021" xr:uid="{00000000-0004-0000-0500-000000000000}"/>
    <hyperlink ref="B4" location="Work_Items!A39" display="WI-037" xr:uid="{00000000-0004-0000-0500-000001000000}"/>
    <hyperlink ref="B5" location="Work_Items!A43" display="WI-041" xr:uid="{00000000-0004-0000-0500-000002000000}"/>
    <hyperlink ref="B6" location="Work_Items!A50" display="WI-048" xr:uid="{00000000-0004-0000-0500-000003000000}"/>
    <hyperlink ref="B7" location="Work_Items!A55" display="WI-053" xr:uid="{00000000-0004-0000-0500-000004000000}"/>
  </hyperlink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6"/>
  <sheetViews>
    <sheetView tabSelected="1" workbookViewId="0">
      <pane ySplit="2" topLeftCell="A3" activePane="bottomLeft" state="frozen"/>
      <selection pane="bottomLeft" activeCell="F4" sqref="F4"/>
    </sheetView>
  </sheetViews>
  <sheetFormatPr defaultRowHeight="14.4" x14ac:dyDescent="0.3"/>
  <cols>
    <col min="1" max="1" width="32" customWidth="1"/>
    <col min="2" max="3" width="14" customWidth="1"/>
    <col min="4" max="8" width="12" customWidth="1"/>
    <col min="9" max="10" width="14" customWidth="1"/>
    <col min="11" max="11" width="60" customWidth="1"/>
  </cols>
  <sheetData>
    <row r="1" spans="1:11" ht="28.05" customHeight="1" thickBot="1" x14ac:dyDescent="0.35">
      <c r="A1" s="63" t="s">
        <v>0</v>
      </c>
      <c r="B1" s="64"/>
      <c r="C1" s="64"/>
      <c r="D1" s="64"/>
      <c r="E1" s="64"/>
      <c r="F1" s="64"/>
      <c r="G1" s="64"/>
      <c r="H1" s="64"/>
      <c r="I1" s="64"/>
      <c r="J1" s="64"/>
      <c r="K1" s="64"/>
    </row>
    <row r="2" spans="1:11" ht="30.6" customHeight="1" thickBot="1" x14ac:dyDescent="0.35">
      <c r="A2" s="1" t="s">
        <v>1</v>
      </c>
      <c r="B2" s="1" t="s">
        <v>2</v>
      </c>
      <c r="C2" s="1" t="s">
        <v>3</v>
      </c>
      <c r="D2" s="1" t="s">
        <v>4</v>
      </c>
      <c r="E2" s="1" t="s">
        <v>5</v>
      </c>
      <c r="F2" s="1" t="s">
        <v>6</v>
      </c>
      <c r="G2" s="1" t="s">
        <v>7</v>
      </c>
      <c r="H2" s="1" t="s">
        <v>8</v>
      </c>
      <c r="I2" s="1" t="s">
        <v>9</v>
      </c>
      <c r="J2" s="1" t="s">
        <v>10</v>
      </c>
      <c r="K2" s="1" t="s">
        <v>11</v>
      </c>
    </row>
    <row r="3" spans="1:11" ht="55.05" customHeight="1" x14ac:dyDescent="0.3">
      <c r="A3" s="57" t="s">
        <v>12</v>
      </c>
      <c r="B3" s="58">
        <v>320</v>
      </c>
      <c r="C3" s="58">
        <v>340</v>
      </c>
      <c r="D3" s="59">
        <f>C3-B3</f>
        <v>20</v>
      </c>
      <c r="E3" s="10">
        <v>10</v>
      </c>
      <c r="F3" s="10">
        <v>9</v>
      </c>
      <c r="G3" s="40">
        <f>IFERROR(F3/E3,0)</f>
        <v>0.9</v>
      </c>
      <c r="H3" s="10">
        <v>1</v>
      </c>
      <c r="I3" s="58">
        <v>8</v>
      </c>
      <c r="J3" s="58">
        <v>0</v>
      </c>
      <c r="K3" s="10" t="s">
        <v>13</v>
      </c>
    </row>
    <row r="4" spans="1:11" ht="55.05" customHeight="1" x14ac:dyDescent="0.3">
      <c r="A4" s="60" t="s">
        <v>14</v>
      </c>
      <c r="B4" s="61">
        <v>340</v>
      </c>
      <c r="C4" s="61">
        <v>335</v>
      </c>
      <c r="D4" s="62">
        <f>C4-B4</f>
        <v>-5</v>
      </c>
      <c r="E4" s="7">
        <v>12</v>
      </c>
      <c r="F4" s="7">
        <v>11</v>
      </c>
      <c r="G4" s="37">
        <f>IFERROR(F4/E4,0)</f>
        <v>0.91666666666666663</v>
      </c>
      <c r="H4" s="7">
        <v>1</v>
      </c>
      <c r="I4" s="61">
        <v>14</v>
      </c>
      <c r="J4" s="61">
        <v>0</v>
      </c>
      <c r="K4" s="7" t="s">
        <v>15</v>
      </c>
    </row>
    <row r="5" spans="1:11" ht="55.05" customHeight="1" x14ac:dyDescent="0.3">
      <c r="A5" s="57" t="s">
        <v>16</v>
      </c>
      <c r="B5" s="58">
        <v>360</v>
      </c>
      <c r="C5" s="58">
        <v>410</v>
      </c>
      <c r="D5" s="59">
        <f>C5-B5</f>
        <v>50</v>
      </c>
      <c r="E5" s="10">
        <v>14</v>
      </c>
      <c r="F5" s="10">
        <v>10</v>
      </c>
      <c r="G5" s="40">
        <f>IFERROR(F5/E5,0)</f>
        <v>0.7142857142857143</v>
      </c>
      <c r="H5" s="10">
        <v>4</v>
      </c>
      <c r="I5" s="58">
        <v>16</v>
      </c>
      <c r="J5" s="58">
        <v>50</v>
      </c>
      <c r="K5" s="10" t="s">
        <v>17</v>
      </c>
    </row>
    <row r="6" spans="1:11" ht="55.05" customHeight="1" x14ac:dyDescent="0.3">
      <c r="A6" s="60" t="s">
        <v>18</v>
      </c>
      <c r="B6" s="61">
        <v>380</v>
      </c>
      <c r="C6" s="61">
        <v>395</v>
      </c>
      <c r="D6" s="59">
        <f>C6-B6</f>
        <v>15</v>
      </c>
      <c r="E6" s="7">
        <v>15</v>
      </c>
      <c r="F6" s="7">
        <v>12</v>
      </c>
      <c r="G6" s="37">
        <f>IFERROR(F6/E6,0)</f>
        <v>0.8</v>
      </c>
      <c r="H6" s="7">
        <v>3</v>
      </c>
      <c r="I6" s="61">
        <v>8</v>
      </c>
      <c r="J6" s="61">
        <v>15</v>
      </c>
      <c r="K6" s="7" t="s">
        <v>19</v>
      </c>
    </row>
  </sheetData>
  <mergeCells count="1">
    <mergeCell ref="A1:K1"/>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N17"/>
  <sheetViews>
    <sheetView workbookViewId="0"/>
  </sheetViews>
  <sheetFormatPr defaultRowHeight="14.4" x14ac:dyDescent="0.3"/>
  <sheetData>
    <row r="1" spans="1:14" x14ac:dyDescent="0.3">
      <c r="A1" t="s">
        <v>386</v>
      </c>
      <c r="B1" t="s">
        <v>387</v>
      </c>
      <c r="C1" t="s">
        <v>388</v>
      </c>
      <c r="D1" t="s">
        <v>138</v>
      </c>
      <c r="E1" t="s">
        <v>389</v>
      </c>
      <c r="F1" t="s">
        <v>390</v>
      </c>
      <c r="G1" t="s">
        <v>391</v>
      </c>
      <c r="H1" t="s">
        <v>392</v>
      </c>
      <c r="I1" t="s">
        <v>364</v>
      </c>
      <c r="J1" t="s">
        <v>393</v>
      </c>
      <c r="K1" t="s">
        <v>394</v>
      </c>
      <c r="L1" t="s">
        <v>395</v>
      </c>
      <c r="M1" t="s">
        <v>396</v>
      </c>
      <c r="N1" t="s">
        <v>397</v>
      </c>
    </row>
    <row r="2" spans="1:14" x14ac:dyDescent="0.3">
      <c r="A2" t="s">
        <v>37</v>
      </c>
      <c r="B2" t="s">
        <v>119</v>
      </c>
      <c r="C2" t="s">
        <v>148</v>
      </c>
      <c r="D2" t="s">
        <v>371</v>
      </c>
      <c r="E2" t="s">
        <v>119</v>
      </c>
      <c r="F2" t="s">
        <v>150</v>
      </c>
      <c r="G2" t="s">
        <v>398</v>
      </c>
      <c r="H2" t="s">
        <v>314</v>
      </c>
      <c r="I2" t="s">
        <v>178</v>
      </c>
      <c r="J2" t="s">
        <v>372</v>
      </c>
      <c r="K2" t="s">
        <v>399</v>
      </c>
      <c r="L2" t="s">
        <v>61</v>
      </c>
      <c r="M2" t="s">
        <v>63</v>
      </c>
      <c r="N2" t="s">
        <v>12</v>
      </c>
    </row>
    <row r="3" spans="1:14" x14ac:dyDescent="0.3">
      <c r="A3" t="s">
        <v>400</v>
      </c>
      <c r="B3" t="s">
        <v>116</v>
      </c>
      <c r="C3" t="s">
        <v>158</v>
      </c>
      <c r="D3" t="s">
        <v>149</v>
      </c>
      <c r="E3" t="s">
        <v>116</v>
      </c>
      <c r="F3" t="s">
        <v>155</v>
      </c>
      <c r="G3" t="s">
        <v>401</v>
      </c>
      <c r="H3" t="s">
        <v>402</v>
      </c>
      <c r="I3" t="s">
        <v>164</v>
      </c>
      <c r="J3" t="s">
        <v>116</v>
      </c>
      <c r="K3" t="s">
        <v>403</v>
      </c>
      <c r="L3" t="s">
        <v>67</v>
      </c>
      <c r="M3" t="s">
        <v>64</v>
      </c>
      <c r="N3" t="s">
        <v>14</v>
      </c>
    </row>
    <row r="4" spans="1:14" x14ac:dyDescent="0.3">
      <c r="A4" t="s">
        <v>112</v>
      </c>
      <c r="B4" t="s">
        <v>112</v>
      </c>
      <c r="C4" t="s">
        <v>154</v>
      </c>
      <c r="D4" t="s">
        <v>164</v>
      </c>
      <c r="E4" t="s">
        <v>248</v>
      </c>
      <c r="G4" t="s">
        <v>404</v>
      </c>
      <c r="H4" t="s">
        <v>405</v>
      </c>
      <c r="I4" t="s">
        <v>149</v>
      </c>
      <c r="J4" t="s">
        <v>406</v>
      </c>
      <c r="K4" t="s">
        <v>407</v>
      </c>
      <c r="L4" t="s">
        <v>73</v>
      </c>
      <c r="M4" t="s">
        <v>69</v>
      </c>
      <c r="N4" t="s">
        <v>16</v>
      </c>
    </row>
    <row r="5" spans="1:14" x14ac:dyDescent="0.3">
      <c r="A5" t="s">
        <v>408</v>
      </c>
      <c r="C5" t="s">
        <v>215</v>
      </c>
      <c r="D5" t="s">
        <v>178</v>
      </c>
      <c r="E5" t="s">
        <v>112</v>
      </c>
      <c r="G5" t="s">
        <v>215</v>
      </c>
      <c r="I5" t="s">
        <v>371</v>
      </c>
      <c r="J5" t="s">
        <v>409</v>
      </c>
      <c r="K5" t="s">
        <v>410</v>
      </c>
      <c r="L5" t="s">
        <v>78</v>
      </c>
      <c r="M5" t="s">
        <v>70</v>
      </c>
      <c r="N5" t="s">
        <v>18</v>
      </c>
    </row>
    <row r="6" spans="1:14" x14ac:dyDescent="0.3">
      <c r="C6" t="s">
        <v>170</v>
      </c>
      <c r="E6" t="s">
        <v>411</v>
      </c>
      <c r="G6" t="s">
        <v>412</v>
      </c>
      <c r="K6" t="s">
        <v>413</v>
      </c>
      <c r="L6" t="s">
        <v>83</v>
      </c>
      <c r="M6" t="s">
        <v>75</v>
      </c>
      <c r="N6" t="s">
        <v>117</v>
      </c>
    </row>
    <row r="7" spans="1:14" x14ac:dyDescent="0.3">
      <c r="G7" t="s">
        <v>414</v>
      </c>
      <c r="K7" t="s">
        <v>415</v>
      </c>
      <c r="L7" t="s">
        <v>88</v>
      </c>
      <c r="M7" t="s">
        <v>76</v>
      </c>
      <c r="N7" t="s">
        <v>121</v>
      </c>
    </row>
    <row r="8" spans="1:14" x14ac:dyDescent="0.3">
      <c r="K8" t="s">
        <v>416</v>
      </c>
      <c r="L8" t="s">
        <v>93</v>
      </c>
      <c r="M8" t="s">
        <v>80</v>
      </c>
      <c r="N8" t="s">
        <v>123</v>
      </c>
    </row>
    <row r="9" spans="1:14" x14ac:dyDescent="0.3">
      <c r="L9" t="s">
        <v>98</v>
      </c>
      <c r="M9" t="s">
        <v>81</v>
      </c>
      <c r="N9" t="s">
        <v>125</v>
      </c>
    </row>
    <row r="10" spans="1:14" x14ac:dyDescent="0.3">
      <c r="M10" t="s">
        <v>85</v>
      </c>
      <c r="N10" t="s">
        <v>127</v>
      </c>
    </row>
    <row r="11" spans="1:14" x14ac:dyDescent="0.3">
      <c r="M11" t="s">
        <v>86</v>
      </c>
      <c r="N11" t="s">
        <v>128</v>
      </c>
    </row>
    <row r="12" spans="1:14" x14ac:dyDescent="0.3">
      <c r="M12" t="s">
        <v>90</v>
      </c>
      <c r="N12" t="s">
        <v>129</v>
      </c>
    </row>
    <row r="13" spans="1:14" x14ac:dyDescent="0.3">
      <c r="M13" t="s">
        <v>91</v>
      </c>
      <c r="N13" t="s">
        <v>130</v>
      </c>
    </row>
    <row r="14" spans="1:14" x14ac:dyDescent="0.3">
      <c r="M14" t="s">
        <v>95</v>
      </c>
    </row>
    <row r="15" spans="1:14" x14ac:dyDescent="0.3">
      <c r="M15" t="s">
        <v>96</v>
      </c>
    </row>
    <row r="16" spans="1:14" x14ac:dyDescent="0.3">
      <c r="M16" t="s">
        <v>100</v>
      </c>
    </row>
    <row r="17" spans="13:13" x14ac:dyDescent="0.3">
      <c r="M17" t="s">
        <v>101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14</vt:i4>
      </vt:variant>
    </vt:vector>
  </HeadingPairs>
  <TitlesOfParts>
    <vt:vector size="22" baseType="lpstr">
      <vt:lpstr>Project_Info</vt:lpstr>
      <vt:lpstr>Team</vt:lpstr>
      <vt:lpstr>Sprint_Plan</vt:lpstr>
      <vt:lpstr>Work_Items</vt:lpstr>
      <vt:lpstr>Dependencies</vt:lpstr>
      <vt:lpstr>Blockers</vt:lpstr>
      <vt:lpstr>Sprint_Actuals</vt:lpstr>
      <vt:lpstr>Lists</vt:lpstr>
      <vt:lpstr>BlockerCategory</vt:lpstr>
      <vt:lpstr>BlockerStatus</vt:lpstr>
      <vt:lpstr>DependencyType</vt:lpstr>
      <vt:lpstr>Owners</vt:lpstr>
      <vt:lpstr>Priority</vt:lpstr>
      <vt:lpstr>ProjectStatus</vt:lpstr>
      <vt:lpstr>ScopeReason</vt:lpstr>
      <vt:lpstr>Severity</vt:lpstr>
      <vt:lpstr>Skills</vt:lpstr>
      <vt:lpstr>Sprints</vt:lpstr>
      <vt:lpstr>SprintStatus</vt:lpstr>
      <vt:lpstr>WorkItemStatus</vt:lpstr>
      <vt:lpstr>WorkItemType</vt:lpstr>
      <vt:lpstr>YesNo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Souhbarnika V (MS/EIN3-SWC)</cp:lastModifiedBy>
  <dcterms:created xsi:type="dcterms:W3CDTF">2026-06-11T08:09:41Z</dcterms:created>
  <dcterms:modified xsi:type="dcterms:W3CDTF">2026-06-11T08:47:46Z</dcterms:modified>
</cp:coreProperties>
</file>